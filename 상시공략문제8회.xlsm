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4년)\2급\상시공략집\2024컴활2급(상시)\상시공략문제\"/>
    </mc:Choice>
  </mc:AlternateContent>
  <xr:revisionPtr revIDLastSave="0" documentId="13_ncr:1_{A932DE05-C79A-4397-80AB-D4623C840B84}" xr6:coauthVersionLast="47" xr6:coauthVersionMax="47" xr10:uidLastSave="{00000000-0000-0000-0000-000000000000}"/>
  <bookViews>
    <workbookView xWindow="11430" yWindow="2400" windowWidth="16995" windowHeight="9810" tabRatio="818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9" r:id="rId6"/>
    <sheet name="매크로작업" sheetId="7" r:id="rId7"/>
    <sheet name="차트작업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6" i="4" l="1"/>
  <c r="K25" i="4"/>
  <c r="K24" i="4"/>
  <c r="K23" i="4"/>
  <c r="K22" i="4"/>
  <c r="K21" i="4"/>
  <c r="K20" i="4"/>
  <c r="K19" i="4"/>
  <c r="K18" i="4"/>
  <c r="K17" i="4"/>
  <c r="D10" i="4"/>
  <c r="D9" i="4"/>
  <c r="D8" i="4"/>
  <c r="D7" i="4"/>
  <c r="D6" i="4"/>
  <c r="D5" i="4"/>
  <c r="D4" i="4"/>
  <c r="D3" i="4"/>
  <c r="E9" i="9" l="1"/>
  <c r="G9" i="9" s="1"/>
  <c r="G8" i="9"/>
  <c r="E8" i="9"/>
  <c r="E7" i="9"/>
  <c r="G7" i="9" s="1"/>
  <c r="E6" i="9"/>
  <c r="G6" i="9" s="1"/>
  <c r="E5" i="9"/>
  <c r="G5" i="9" s="1"/>
  <c r="E4" i="9"/>
  <c r="G4" i="9" s="1"/>
  <c r="G10" i="9" l="1"/>
</calcChain>
</file>

<file path=xl/sharedStrings.xml><?xml version="1.0" encoding="utf-8"?>
<sst xmlns="http://schemas.openxmlformats.org/spreadsheetml/2006/main" count="457" uniqueCount="326">
  <si>
    <t>근무부서</t>
    <phoneticPr fontId="1" type="noConversion"/>
  </si>
  <si>
    <t>상여금</t>
    <phoneticPr fontId="1" type="noConversion"/>
  </si>
  <si>
    <t>복지비</t>
    <phoneticPr fontId="1" type="noConversion"/>
  </si>
  <si>
    <t>교통비</t>
    <phoneticPr fontId="1" type="noConversion"/>
  </si>
  <si>
    <t>생산부</t>
    <phoneticPr fontId="1" type="noConversion"/>
  </si>
  <si>
    <t>영업부</t>
    <phoneticPr fontId="1" type="noConversion"/>
  </si>
  <si>
    <t>관리부</t>
    <phoneticPr fontId="1" type="noConversion"/>
  </si>
  <si>
    <t>기술부</t>
    <phoneticPr fontId="1" type="noConversion"/>
  </si>
  <si>
    <t>제품코드</t>
    <phoneticPr fontId="1" type="noConversion"/>
  </si>
  <si>
    <t>제품명</t>
    <phoneticPr fontId="1" type="noConversion"/>
  </si>
  <si>
    <t>구분</t>
  </si>
  <si>
    <t>브랜드이름</t>
  </si>
  <si>
    <t>권장소비자가격</t>
  </si>
  <si>
    <t>제조일자</t>
  </si>
  <si>
    <t>보존기간(개월)</t>
    <phoneticPr fontId="1" type="noConversion"/>
  </si>
  <si>
    <t>판매수량</t>
  </si>
  <si>
    <t>JK2051GC</t>
    <phoneticPr fontId="1" type="noConversion"/>
  </si>
  <si>
    <t>류마큐</t>
    <phoneticPr fontId="1" type="noConversion"/>
  </si>
  <si>
    <t>건강보조제</t>
  </si>
  <si>
    <t>정관정</t>
    <phoneticPr fontId="1" type="noConversion"/>
  </si>
  <si>
    <t>PM4051AR</t>
    <phoneticPr fontId="1" type="noConversion"/>
  </si>
  <si>
    <t>아로니아</t>
  </si>
  <si>
    <t>건강보조제</t>
    <phoneticPr fontId="1" type="noConversion"/>
  </si>
  <si>
    <t>풀모원</t>
  </si>
  <si>
    <t>JK1071GT</t>
    <phoneticPr fontId="1" type="noConversion"/>
  </si>
  <si>
    <t>인삼차</t>
  </si>
  <si>
    <t>기호식품</t>
  </si>
  <si>
    <t>정관정</t>
  </si>
  <si>
    <t>JK1081RG</t>
    <phoneticPr fontId="1" type="noConversion"/>
  </si>
  <si>
    <t>홍삼액</t>
  </si>
  <si>
    <t>PM1091KV</t>
    <phoneticPr fontId="1" type="noConversion"/>
  </si>
  <si>
    <t>어린이종합비타민</t>
  </si>
  <si>
    <t>키즈제품</t>
  </si>
  <si>
    <t>풀모원</t>
    <phoneticPr fontId="1" type="noConversion"/>
  </si>
  <si>
    <t>SN1071SB</t>
    <phoneticPr fontId="1" type="noConversion"/>
  </si>
  <si>
    <t>상어연골</t>
  </si>
  <si>
    <t>기호식품</t>
    <phoneticPr fontId="1" type="noConversion"/>
  </si>
  <si>
    <t>세노비야</t>
  </si>
  <si>
    <t>PM4061BB</t>
    <phoneticPr fontId="1" type="noConversion"/>
  </si>
  <si>
    <t>블루베리</t>
  </si>
  <si>
    <t>기능성식품</t>
  </si>
  <si>
    <t>PM2071GS</t>
    <phoneticPr fontId="1" type="noConversion"/>
  </si>
  <si>
    <t>가시오가피 농축액</t>
  </si>
  <si>
    <t>PM1081RJ</t>
    <phoneticPr fontId="1" type="noConversion"/>
  </si>
  <si>
    <t>홍삼절편</t>
  </si>
  <si>
    <t>JD3091TT</t>
    <phoneticPr fontId="1" type="noConversion"/>
  </si>
  <si>
    <t>튼튼정</t>
  </si>
  <si>
    <t>종곤당</t>
    <phoneticPr fontId="1" type="noConversion"/>
  </si>
  <si>
    <t>JD1081RR</t>
    <phoneticPr fontId="1" type="noConversion"/>
  </si>
  <si>
    <t>홍삼녹용진</t>
    <phoneticPr fontId="1" type="noConversion"/>
  </si>
  <si>
    <t>SN2081RA</t>
    <phoneticPr fontId="1" type="noConversion"/>
  </si>
  <si>
    <t>레드에너지</t>
    <phoneticPr fontId="1" type="noConversion"/>
  </si>
  <si>
    <t>세노비야</t>
    <phoneticPr fontId="1" type="noConversion"/>
  </si>
  <si>
    <t>SN3061RL</t>
    <phoneticPr fontId="1" type="noConversion"/>
  </si>
  <si>
    <t>리프리놀</t>
  </si>
  <si>
    <t>기능성식품</t>
    <phoneticPr fontId="1" type="noConversion"/>
  </si>
  <si>
    <t>SN2051VC</t>
    <phoneticPr fontId="1" type="noConversion"/>
  </si>
  <si>
    <t>비타민C</t>
  </si>
  <si>
    <t>PM4061AB</t>
    <phoneticPr fontId="1" type="noConversion"/>
  </si>
  <si>
    <t>아사히베리</t>
  </si>
  <si>
    <t>JD1061PC</t>
    <phoneticPr fontId="1" type="noConversion"/>
  </si>
  <si>
    <t>폴리코사놀</t>
  </si>
  <si>
    <t>종곤당</t>
    <phoneticPr fontId="1" type="noConversion"/>
  </si>
  <si>
    <t>PM4071HG</t>
    <phoneticPr fontId="1" type="noConversion"/>
  </si>
  <si>
    <t>헛개나무 농축액</t>
  </si>
  <si>
    <t>JK4071MJ</t>
    <phoneticPr fontId="1" type="noConversion"/>
  </si>
  <si>
    <t>오미자차</t>
  </si>
  <si>
    <t>종곤당</t>
  </si>
  <si>
    <t>JD4071YJ</t>
    <phoneticPr fontId="1" type="noConversion"/>
  </si>
  <si>
    <t>영지버섯 농축액</t>
  </si>
  <si>
    <t>JK4081RC</t>
    <phoneticPr fontId="1" type="noConversion"/>
  </si>
  <si>
    <t>홍삼캔디</t>
  </si>
  <si>
    <t>JK1061RT</t>
    <phoneticPr fontId="1" type="noConversion"/>
  </si>
  <si>
    <t>홍삼환</t>
  </si>
  <si>
    <t>기능성식품</t>
    <phoneticPr fontId="1" type="noConversion"/>
  </si>
  <si>
    <t>SN1091KZ</t>
    <phoneticPr fontId="1" type="noConversion"/>
  </si>
  <si>
    <t>키즈징크</t>
  </si>
  <si>
    <t>JK2091KG</t>
    <phoneticPr fontId="1" type="noConversion"/>
  </si>
  <si>
    <t>홍삼장군</t>
    <phoneticPr fontId="1" type="noConversion"/>
  </si>
  <si>
    <t>정관정</t>
    <phoneticPr fontId="1" type="noConversion"/>
  </si>
  <si>
    <t>JD1051OM</t>
    <phoneticPr fontId="1" type="noConversion"/>
  </si>
  <si>
    <t>오메가</t>
  </si>
  <si>
    <t>상공 조기 축구회원 명단</t>
    <phoneticPr fontId="5" type="noConversion"/>
  </si>
  <si>
    <t>거래처명</t>
    <phoneticPr fontId="1" type="noConversion"/>
  </si>
  <si>
    <t>출고량</t>
    <phoneticPr fontId="1" type="noConversion"/>
  </si>
  <si>
    <t>출고가</t>
    <phoneticPr fontId="1" type="noConversion"/>
  </si>
  <si>
    <t>출고총액</t>
    <phoneticPr fontId="1" type="noConversion"/>
  </si>
  <si>
    <t>등급</t>
    <phoneticPr fontId="1" type="noConversion"/>
  </si>
  <si>
    <t>이익금합계</t>
    <phoneticPr fontId="1" type="noConversion"/>
  </si>
  <si>
    <t>일반</t>
    <phoneticPr fontId="1" type="noConversion"/>
  </si>
  <si>
    <t>총이익금합계</t>
    <phoneticPr fontId="1" type="noConversion"/>
  </si>
  <si>
    <t>할인율</t>
    <phoneticPr fontId="1" type="noConversion"/>
  </si>
  <si>
    <t>제품코드</t>
  </si>
  <si>
    <t>구분</t>
    <phoneticPr fontId="1" type="noConversion"/>
  </si>
  <si>
    <t>효과</t>
  </si>
  <si>
    <t>중량</t>
  </si>
  <si>
    <t>연소시간</t>
  </si>
  <si>
    <t>가격</t>
  </si>
  <si>
    <t>주문수량</t>
  </si>
  <si>
    <t>LJ-001</t>
  </si>
  <si>
    <t>아로마</t>
    <phoneticPr fontId="1" type="noConversion"/>
  </si>
  <si>
    <t>Destress</t>
  </si>
  <si>
    <t>340g</t>
  </si>
  <si>
    <t>LJ-002</t>
    <phoneticPr fontId="1" type="noConversion"/>
  </si>
  <si>
    <t>프로그랜스</t>
    <phoneticPr fontId="1" type="noConversion"/>
  </si>
  <si>
    <t>LJ-004</t>
  </si>
  <si>
    <t>프로그랜스</t>
    <phoneticPr fontId="1" type="noConversion"/>
  </si>
  <si>
    <t>Fresh</t>
  </si>
  <si>
    <t>LJ-005</t>
  </si>
  <si>
    <t>아로마</t>
    <phoneticPr fontId="1" type="noConversion"/>
  </si>
  <si>
    <t>Sweet Sleep</t>
  </si>
  <si>
    <t>LJ-010</t>
  </si>
  <si>
    <t>밀랍</t>
    <phoneticPr fontId="1" type="noConversion"/>
  </si>
  <si>
    <t>Wood Bathing</t>
  </si>
  <si>
    <t>LJ-012</t>
    <phoneticPr fontId="1" type="noConversion"/>
  </si>
  <si>
    <t>LJ-014</t>
  </si>
  <si>
    <t>Lovely</t>
  </si>
  <si>
    <t>LJ-017</t>
  </si>
  <si>
    <t>밀랍</t>
    <phoneticPr fontId="1" type="noConversion"/>
  </si>
  <si>
    <t xml:space="preserve">Clear Head </t>
    <phoneticPr fontId="1" type="noConversion"/>
  </si>
  <si>
    <t>LJ-018</t>
  </si>
  <si>
    <t>LJ-021</t>
  </si>
  <si>
    <t>MI-005</t>
  </si>
  <si>
    <t>80g</t>
  </si>
  <si>
    <t>MI-010</t>
  </si>
  <si>
    <t>MI-018</t>
  </si>
  <si>
    <t>MI-021</t>
  </si>
  <si>
    <t>TC-001</t>
  </si>
  <si>
    <t>100g</t>
  </si>
  <si>
    <t>TC-004</t>
  </si>
  <si>
    <t>TC-010</t>
  </si>
  <si>
    <t>TC-014</t>
  </si>
  <si>
    <t>TL-001</t>
  </si>
  <si>
    <t xml:space="preserve">Clear Head </t>
    <phoneticPr fontId="1" type="noConversion"/>
  </si>
  <si>
    <t>15g</t>
  </si>
  <si>
    <t>TL-005</t>
    <phoneticPr fontId="1" type="noConversion"/>
  </si>
  <si>
    <t>TL-004</t>
  </si>
  <si>
    <t>Fresh</t>
    <phoneticPr fontId="1" type="noConversion"/>
  </si>
  <si>
    <t>TL-010</t>
  </si>
  <si>
    <t>TL-014</t>
  </si>
  <si>
    <t>생산부서</t>
  </si>
  <si>
    <t>인천본사</t>
  </si>
  <si>
    <t>연구팀</t>
  </si>
  <si>
    <t>충청지사</t>
  </si>
  <si>
    <t>영업부서</t>
  </si>
  <si>
    <t>*</t>
    <phoneticPr fontId="1" type="noConversion"/>
  </si>
  <si>
    <t>관리부서</t>
  </si>
  <si>
    <t>경기지사</t>
  </si>
  <si>
    <t>*</t>
    <phoneticPr fontId="1" type="noConversion"/>
  </si>
  <si>
    <t>HO-90</t>
    <phoneticPr fontId="1" type="noConversion"/>
  </si>
  <si>
    <t>EK-21</t>
    <phoneticPr fontId="1" type="noConversion"/>
  </si>
  <si>
    <t>*</t>
    <phoneticPr fontId="1" type="noConversion"/>
  </si>
  <si>
    <t>HI-34</t>
    <phoneticPr fontId="1" type="noConversion"/>
  </si>
  <si>
    <t>CE-55</t>
    <phoneticPr fontId="1" type="noConversion"/>
  </si>
  <si>
    <t>IB-86</t>
    <phoneticPr fontId="1" type="noConversion"/>
  </si>
  <si>
    <t>IA-73</t>
    <phoneticPr fontId="1" type="noConversion"/>
  </si>
  <si>
    <t>경기지사</t>
    <phoneticPr fontId="1" type="noConversion"/>
  </si>
  <si>
    <t>BA-85</t>
    <phoneticPr fontId="1" type="noConversion"/>
  </si>
  <si>
    <t>관리부서</t>
    <phoneticPr fontId="1" type="noConversion"/>
  </si>
  <si>
    <t>GC-15</t>
    <phoneticPr fontId="1" type="noConversion"/>
  </si>
  <si>
    <t>AB-52</t>
    <phoneticPr fontId="1" type="noConversion"/>
  </si>
  <si>
    <t>제주지사</t>
    <phoneticPr fontId="1" type="noConversion"/>
  </si>
  <si>
    <t>CH-33</t>
    <phoneticPr fontId="1" type="noConversion"/>
  </si>
  <si>
    <t>영업부서</t>
    <phoneticPr fontId="1" type="noConversion"/>
  </si>
  <si>
    <t>GC-99</t>
    <phoneticPr fontId="1" type="noConversion"/>
  </si>
  <si>
    <t>GH-81</t>
    <phoneticPr fontId="1" type="noConversion"/>
  </si>
  <si>
    <t>교통비</t>
    <phoneticPr fontId="1" type="noConversion"/>
  </si>
  <si>
    <t>식대</t>
    <phoneticPr fontId="1" type="noConversion"/>
  </si>
  <si>
    <t>시간외근무</t>
    <phoneticPr fontId="1" type="noConversion"/>
  </si>
  <si>
    <t>수당</t>
    <phoneticPr fontId="1" type="noConversion"/>
  </si>
  <si>
    <t>기본급</t>
    <phoneticPr fontId="1" type="noConversion"/>
  </si>
  <si>
    <t>업무부서</t>
    <phoneticPr fontId="1" type="noConversion"/>
  </si>
  <si>
    <t>근무지</t>
    <phoneticPr fontId="1" type="noConversion"/>
  </si>
  <si>
    <t>사원번호</t>
    <phoneticPr fontId="1" type="noConversion"/>
  </si>
  <si>
    <t>실지급액</t>
    <phoneticPr fontId="1" type="noConversion"/>
  </si>
  <si>
    <t>지점별 판매현황</t>
    <phoneticPr fontId="1" type="noConversion"/>
  </si>
  <si>
    <t>지점명</t>
    <phoneticPr fontId="1" type="noConversion"/>
  </si>
  <si>
    <t>제품명</t>
    <phoneticPr fontId="1" type="noConversion"/>
  </si>
  <si>
    <t>브랜드</t>
    <phoneticPr fontId="1" type="noConversion"/>
  </si>
  <si>
    <t>용량</t>
    <phoneticPr fontId="1" type="noConversion"/>
  </si>
  <si>
    <t>수량</t>
    <phoneticPr fontId="1" type="noConversion"/>
  </si>
  <si>
    <t>판매가격</t>
    <phoneticPr fontId="1" type="noConversion"/>
  </si>
  <si>
    <t>매출액</t>
    <phoneticPr fontId="1" type="noConversion"/>
  </si>
  <si>
    <t>바디 터치 에센셜 오일</t>
    <phoneticPr fontId="1" type="noConversion"/>
  </si>
  <si>
    <t>Body touch</t>
    <phoneticPr fontId="1" type="noConversion"/>
  </si>
  <si>
    <t>트리트먼트 오일</t>
    <phoneticPr fontId="1" type="noConversion"/>
  </si>
  <si>
    <t>dermalogica</t>
    <phoneticPr fontId="1" type="noConversion"/>
  </si>
  <si>
    <t>동백나무 오일</t>
    <phoneticPr fontId="1" type="noConversion"/>
  </si>
  <si>
    <t>Elemis</t>
    <phoneticPr fontId="1" type="noConversion"/>
  </si>
  <si>
    <t>아로마 에센셜 오일</t>
    <phoneticPr fontId="1" type="noConversion"/>
  </si>
  <si>
    <t>Body touch</t>
    <phoneticPr fontId="1" type="noConversion"/>
  </si>
  <si>
    <t>마사지 오일</t>
    <phoneticPr fontId="1" type="noConversion"/>
  </si>
  <si>
    <t>Perfect Potion</t>
    <phoneticPr fontId="1" type="noConversion"/>
  </si>
  <si>
    <t>Chanpagne Candle</t>
    <phoneticPr fontId="1" type="noConversion"/>
  </si>
  <si>
    <t>Antica</t>
    <phoneticPr fontId="1" type="noConversion"/>
  </si>
  <si>
    <t>아로마 향초</t>
    <phoneticPr fontId="1" type="noConversion"/>
  </si>
  <si>
    <t>TRUE GRACE</t>
    <phoneticPr fontId="1" type="noConversion"/>
  </si>
  <si>
    <t>Antica</t>
    <phoneticPr fontId="1" type="noConversion"/>
  </si>
  <si>
    <t>아로마 향 ii</t>
    <phoneticPr fontId="1" type="noConversion"/>
  </si>
  <si>
    <t>VOLUSPA</t>
    <phoneticPr fontId="1" type="noConversion"/>
  </si>
  <si>
    <t>합계</t>
    <phoneticPr fontId="1" type="noConversion"/>
  </si>
  <si>
    <t>제품코드</t>
    <phoneticPr fontId="1" type="noConversion"/>
  </si>
  <si>
    <t>제품 납품 현황</t>
    <phoneticPr fontId="1" type="noConversion"/>
  </si>
  <si>
    <t>정금상사</t>
    <phoneticPr fontId="1" type="noConversion"/>
  </si>
  <si>
    <t>대구상사</t>
    <phoneticPr fontId="1" type="noConversion"/>
  </si>
  <si>
    <t>동광물류</t>
    <phoneticPr fontId="1" type="noConversion"/>
  </si>
  <si>
    <t>남호상사</t>
    <phoneticPr fontId="1" type="noConversion"/>
  </si>
  <si>
    <t>우주상사</t>
    <phoneticPr fontId="1" type="noConversion"/>
  </si>
  <si>
    <t>나주상사</t>
    <phoneticPr fontId="1" type="noConversion"/>
  </si>
  <si>
    <t>TB-451</t>
  </si>
  <si>
    <t>WQ-246</t>
  </si>
  <si>
    <t>TB-828</t>
  </si>
  <si>
    <t>LC-296</t>
  </si>
  <si>
    <t>LC-592</t>
  </si>
  <si>
    <t>WQ-489</t>
  </si>
  <si>
    <t>우수</t>
  </si>
  <si>
    <t>강남점</t>
    <phoneticPr fontId="1" type="noConversion"/>
  </si>
  <si>
    <t>수원점</t>
    <phoneticPr fontId="1" type="noConversion"/>
  </si>
  <si>
    <t>부평점</t>
    <phoneticPr fontId="1" type="noConversion"/>
  </si>
  <si>
    <t>향초 판매 현황</t>
    <phoneticPr fontId="1" type="noConversion"/>
  </si>
  <si>
    <t>건강보조제</t>
    <phoneticPr fontId="1" type="noConversion"/>
  </si>
  <si>
    <t>건강보조제</t>
    <phoneticPr fontId="1" type="noConversion"/>
  </si>
  <si>
    <t>기능성식품</t>
    <phoneticPr fontId="1" type="noConversion"/>
  </si>
  <si>
    <t>건강보조제</t>
    <phoneticPr fontId="1" type="noConversion"/>
  </si>
  <si>
    <t>건강식품 판매 내역</t>
    <phoneticPr fontId="1" type="noConversion"/>
  </si>
  <si>
    <t>[표1]</t>
    <phoneticPr fontId="1" type="noConversion"/>
  </si>
  <si>
    <t>경시대회결과</t>
    <phoneticPr fontId="1" type="noConversion"/>
  </si>
  <si>
    <t>[표2]</t>
    <phoneticPr fontId="1" type="noConversion"/>
  </si>
  <si>
    <t>학과별 교양과목 성적현황</t>
    <phoneticPr fontId="1" type="noConversion"/>
  </si>
  <si>
    <t>성명</t>
    <phoneticPr fontId="5" type="noConversion"/>
  </si>
  <si>
    <t>영어</t>
    <phoneticPr fontId="5" type="noConversion"/>
  </si>
  <si>
    <t>수학</t>
    <phoneticPr fontId="5" type="noConversion"/>
  </si>
  <si>
    <t>총점</t>
    <phoneticPr fontId="1" type="noConversion"/>
  </si>
  <si>
    <t>순위</t>
    <phoneticPr fontId="1" type="noConversion"/>
  </si>
  <si>
    <t>성명</t>
    <phoneticPr fontId="1" type="noConversion"/>
  </si>
  <si>
    <t>학과</t>
    <phoneticPr fontId="1" type="noConversion"/>
  </si>
  <si>
    <t>점수</t>
    <phoneticPr fontId="1" type="noConversion"/>
  </si>
  <si>
    <t>&lt;학점표&gt;</t>
    <phoneticPr fontId="1" type="noConversion"/>
  </si>
  <si>
    <t>윤서희</t>
  </si>
  <si>
    <t>이희원</t>
    <phoneticPr fontId="1" type="noConversion"/>
  </si>
  <si>
    <t>경영</t>
    <phoneticPr fontId="1" type="noConversion"/>
  </si>
  <si>
    <t>학점</t>
    <phoneticPr fontId="1" type="noConversion"/>
  </si>
  <si>
    <t>김준서</t>
    <phoneticPr fontId="1" type="noConversion"/>
  </si>
  <si>
    <t>홍지원</t>
  </si>
  <si>
    <t>사회</t>
    <phoneticPr fontId="1" type="noConversion"/>
  </si>
  <si>
    <t>F</t>
    <phoneticPr fontId="1" type="noConversion"/>
  </si>
  <si>
    <t>안영재</t>
    <phoneticPr fontId="1" type="noConversion"/>
  </si>
  <si>
    <t>정은서</t>
    <phoneticPr fontId="1" type="noConversion"/>
  </si>
  <si>
    <t>법학</t>
    <phoneticPr fontId="1" type="noConversion"/>
  </si>
  <si>
    <t>D</t>
    <phoneticPr fontId="1" type="noConversion"/>
  </si>
  <si>
    <t>박미선</t>
    <phoneticPr fontId="1" type="noConversion"/>
  </si>
  <si>
    <t>김지영</t>
  </si>
  <si>
    <t>경영</t>
    <phoneticPr fontId="1" type="noConversion"/>
  </si>
  <si>
    <t>C</t>
    <phoneticPr fontId="1" type="noConversion"/>
  </si>
  <si>
    <t>노정인</t>
    <phoneticPr fontId="1" type="noConversion"/>
  </si>
  <si>
    <t>박영훈</t>
  </si>
  <si>
    <t>B</t>
    <phoneticPr fontId="1" type="noConversion"/>
  </si>
  <si>
    <t>김윤경</t>
    <phoneticPr fontId="1" type="noConversion"/>
  </si>
  <si>
    <t>이준성</t>
  </si>
  <si>
    <t>A</t>
    <phoneticPr fontId="1" type="noConversion"/>
  </si>
  <si>
    <t>강석훈</t>
    <phoneticPr fontId="1" type="noConversion"/>
  </si>
  <si>
    <t>노성훈</t>
    <phoneticPr fontId="1" type="noConversion"/>
  </si>
  <si>
    <t>학과</t>
    <phoneticPr fontId="1" type="noConversion"/>
  </si>
  <si>
    <t>평균학점</t>
    <phoneticPr fontId="1" type="noConversion"/>
  </si>
  <si>
    <t xml:space="preserve">[표3] </t>
    <phoneticPr fontId="1" type="noConversion"/>
  </si>
  <si>
    <t>2학년 반배정현황</t>
    <phoneticPr fontId="1" type="noConversion"/>
  </si>
  <si>
    <t>사회</t>
    <phoneticPr fontId="1" type="noConversion"/>
  </si>
  <si>
    <t>학생명</t>
    <phoneticPr fontId="1" type="noConversion"/>
  </si>
  <si>
    <t>성별</t>
  </si>
  <si>
    <t>배정번호</t>
  </si>
  <si>
    <t>반</t>
  </si>
  <si>
    <t>유제관</t>
  </si>
  <si>
    <t>남</t>
    <phoneticPr fontId="1" type="noConversion"/>
  </si>
  <si>
    <t>김민영</t>
  </si>
  <si>
    <t>여</t>
    <phoneticPr fontId="1" type="noConversion"/>
  </si>
  <si>
    <t>[표4]</t>
  </si>
  <si>
    <t>2학년 성적표</t>
    <phoneticPr fontId="1" type="noConversion"/>
  </si>
  <si>
    <t>도경민</t>
  </si>
  <si>
    <t>성명</t>
  </si>
  <si>
    <t>중간고사</t>
  </si>
  <si>
    <t>기말고사</t>
  </si>
  <si>
    <t>평균</t>
  </si>
  <si>
    <t>인정희</t>
    <phoneticPr fontId="1" type="noConversion"/>
  </si>
  <si>
    <t>여</t>
    <phoneticPr fontId="1" type="noConversion"/>
  </si>
  <si>
    <t>최수현</t>
    <phoneticPr fontId="1" type="noConversion"/>
  </si>
  <si>
    <t>윤여준</t>
    <phoneticPr fontId="1" type="noConversion"/>
  </si>
  <si>
    <t>윤여준</t>
    <phoneticPr fontId="1" type="noConversion"/>
  </si>
  <si>
    <t>인정희</t>
    <phoneticPr fontId="1" type="noConversion"/>
  </si>
  <si>
    <t>유근희</t>
    <phoneticPr fontId="1" type="noConversion"/>
  </si>
  <si>
    <t>최수현</t>
    <phoneticPr fontId="1" type="noConversion"/>
  </si>
  <si>
    <t>정환호</t>
  </si>
  <si>
    <t>남</t>
    <phoneticPr fontId="1" type="noConversion"/>
  </si>
  <si>
    <t>&lt;조건&gt;</t>
    <phoneticPr fontId="1" type="noConversion"/>
  </si>
  <si>
    <t>이응표</t>
  </si>
  <si>
    <t>이지수</t>
  </si>
  <si>
    <t>전미선</t>
    <phoneticPr fontId="1" type="noConversion"/>
  </si>
  <si>
    <t>전미선</t>
    <phoneticPr fontId="1" type="noConversion"/>
  </si>
  <si>
    <t>정홍일</t>
    <phoneticPr fontId="1" type="noConversion"/>
  </si>
  <si>
    <t>최고평균차이</t>
  </si>
  <si>
    <t>여</t>
    <phoneticPr fontId="1" type="noConversion"/>
  </si>
  <si>
    <t>[표5]</t>
    <phoneticPr fontId="1" type="noConversion"/>
  </si>
  <si>
    <t>스마트기기판매현황</t>
    <phoneticPr fontId="1" type="noConversion"/>
  </si>
  <si>
    <t>&lt;제품가격표&gt;</t>
    <phoneticPr fontId="1" type="noConversion"/>
  </si>
  <si>
    <t>판매점</t>
    <phoneticPr fontId="1" type="noConversion"/>
  </si>
  <si>
    <t>제품명</t>
    <phoneticPr fontId="1" type="noConversion"/>
  </si>
  <si>
    <t>판매량</t>
    <phoneticPr fontId="1" type="noConversion"/>
  </si>
  <si>
    <t>판매금액</t>
    <phoneticPr fontId="1" type="noConversion"/>
  </si>
  <si>
    <t>구분</t>
    <phoneticPr fontId="1" type="noConversion"/>
  </si>
  <si>
    <t>서울A</t>
    <phoneticPr fontId="1" type="noConversion"/>
  </si>
  <si>
    <t>서울B</t>
    <phoneticPr fontId="1" type="noConversion"/>
  </si>
  <si>
    <t>부산A</t>
    <phoneticPr fontId="1" type="noConversion"/>
  </si>
  <si>
    <t>부산B</t>
    <phoneticPr fontId="1" type="noConversion"/>
  </si>
  <si>
    <t>서울</t>
    <phoneticPr fontId="1" type="noConversion"/>
  </si>
  <si>
    <t>태블릿/A</t>
    <phoneticPr fontId="1" type="noConversion"/>
  </si>
  <si>
    <t>매입가</t>
    <phoneticPr fontId="1" type="noConversion"/>
  </si>
  <si>
    <t>부산</t>
    <phoneticPr fontId="1" type="noConversion"/>
  </si>
  <si>
    <t>스마트워치/B</t>
    <phoneticPr fontId="1" type="noConversion"/>
  </si>
  <si>
    <t>판매가</t>
    <phoneticPr fontId="1" type="noConversion"/>
  </si>
  <si>
    <t>서울</t>
    <phoneticPr fontId="1" type="noConversion"/>
  </si>
  <si>
    <t>태블릿/B</t>
    <phoneticPr fontId="1" type="noConversion"/>
  </si>
  <si>
    <t>태블릿/A</t>
    <phoneticPr fontId="1" type="noConversion"/>
  </si>
  <si>
    <t>부산</t>
    <phoneticPr fontId="1" type="noConversion"/>
  </si>
  <si>
    <t>스마트워치/A</t>
    <phoneticPr fontId="1" type="noConversion"/>
  </si>
  <si>
    <t>태블릿/B</t>
    <phoneticPr fontId="1" type="noConversion"/>
  </si>
  <si>
    <t>서울</t>
    <phoneticPr fontId="1" type="noConversion"/>
  </si>
  <si>
    <t>스마트워치/A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</si>
</sst>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);[Red]\(#,##0\)"/>
    <numFmt numFmtId="177" formatCode="0.0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0" borderId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/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>
      <alignment vertical="center"/>
    </xf>
    <xf numFmtId="41" fontId="4" fillId="0" borderId="1" xfId="1" applyFont="1" applyFill="1" applyBorder="1">
      <alignment vertical="center"/>
    </xf>
    <xf numFmtId="14" fontId="4" fillId="0" borderId="1" xfId="0" applyNumberFormat="1" applyFont="1" applyFill="1" applyBorder="1">
      <alignment vertical="center"/>
    </xf>
    <xf numFmtId="0" fontId="0" fillId="0" borderId="0" xfId="0" applyAlignment="1">
      <alignment vertical="center"/>
    </xf>
    <xf numFmtId="41" fontId="0" fillId="0" borderId="1" xfId="1" applyFont="1" applyBorder="1" applyAlignment="1">
      <alignment horizontal="center" vertical="center"/>
    </xf>
    <xf numFmtId="41" fontId="0" fillId="0" borderId="1" xfId="1" applyNumberFormat="1" applyFon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3" fillId="2" borderId="1" xfId="2" applyFont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41" fontId="0" fillId="0" borderId="1" xfId="1" applyFont="1" applyFill="1" applyBorder="1" applyAlignment="1">
      <alignment horizontal="center" vertical="center"/>
    </xf>
    <xf numFmtId="41" fontId="0" fillId="0" borderId="1" xfId="1" applyFont="1" applyFill="1" applyBorder="1">
      <alignment vertical="center"/>
    </xf>
    <xf numFmtId="176" fontId="0" fillId="0" borderId="1" xfId="1" applyNumberFormat="1" applyFont="1" applyBorder="1">
      <alignment vertical="center"/>
    </xf>
    <xf numFmtId="176" fontId="0" fillId="0" borderId="1" xfId="0" applyNumberFormat="1" applyBorder="1" applyAlignment="1">
      <alignment horizontal="center" vertical="center"/>
    </xf>
    <xf numFmtId="0" fontId="3" fillId="0" borderId="0" xfId="0" applyFont="1">
      <alignment vertical="center"/>
    </xf>
    <xf numFmtId="0" fontId="0" fillId="0" borderId="0" xfId="0" applyBorder="1" applyAlignment="1">
      <alignment horizontal="center" vertical="center"/>
    </xf>
    <xf numFmtId="41" fontId="0" fillId="0" borderId="0" xfId="1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7" fillId="0" borderId="0" xfId="3" applyFont="1">
      <alignment vertical="center"/>
    </xf>
    <xf numFmtId="0" fontId="3" fillId="0" borderId="0" xfId="3" applyFont="1">
      <alignment vertical="center"/>
    </xf>
    <xf numFmtId="0" fontId="2" fillId="0" borderId="0" xfId="3">
      <alignment vertical="center"/>
    </xf>
    <xf numFmtId="0" fontId="3" fillId="0" borderId="1" xfId="0" applyFont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7" fillId="0" borderId="0" xfId="0" applyFont="1">
      <alignment vertical="center"/>
    </xf>
    <xf numFmtId="0" fontId="0" fillId="3" borderId="1" xfId="0" applyFill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4">
    <cellStyle name="40% - 강조색3" xfId="2" builtinId="39"/>
    <cellStyle name="쉼표 [0]" xfId="1" builtinId="6"/>
    <cellStyle name="표준" xfId="0" builtinId="0"/>
    <cellStyle name="표준 3 2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차트작업!$C$2</c:f>
              <c:strCache>
                <c:ptCount val="1"/>
                <c:pt idx="0">
                  <c:v>상여금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차트작업!$B$3:$B$6</c:f>
              <c:strCache>
                <c:ptCount val="4"/>
                <c:pt idx="0">
                  <c:v>생산부</c:v>
                </c:pt>
                <c:pt idx="1">
                  <c:v>영업부</c:v>
                </c:pt>
                <c:pt idx="2">
                  <c:v>관리부</c:v>
                </c:pt>
                <c:pt idx="3">
                  <c:v>기술부</c:v>
                </c:pt>
              </c:strCache>
            </c:strRef>
          </c:cat>
          <c:val>
            <c:numRef>
              <c:f>차트작업!$C$3:$C$6</c:f>
              <c:numCache>
                <c:formatCode>General</c:formatCode>
                <c:ptCount val="4"/>
                <c:pt idx="0">
                  <c:v>1390000</c:v>
                </c:pt>
                <c:pt idx="1">
                  <c:v>2500000</c:v>
                </c:pt>
                <c:pt idx="2">
                  <c:v>1650000</c:v>
                </c:pt>
                <c:pt idx="3">
                  <c:v>1390000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12-477E-AEC7-298334116A02}"/>
            </c:ext>
          </c:extLst>
        </c:ser>
        <c:ser>
          <c:idx val="1"/>
          <c:order val="1"/>
          <c:tx>
            <c:strRef>
              <c:f>차트작업!$D$2</c:f>
              <c:strCache>
                <c:ptCount val="1"/>
                <c:pt idx="0">
                  <c:v>복지비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차트작업!$B$3:$B$6</c:f>
              <c:strCache>
                <c:ptCount val="4"/>
                <c:pt idx="0">
                  <c:v>생산부</c:v>
                </c:pt>
                <c:pt idx="1">
                  <c:v>영업부</c:v>
                </c:pt>
                <c:pt idx="2">
                  <c:v>관리부</c:v>
                </c:pt>
                <c:pt idx="3">
                  <c:v>기술부</c:v>
                </c:pt>
              </c:strCache>
            </c:strRef>
          </c:cat>
          <c:val>
            <c:numRef>
              <c:f>차트작업!$D$3:$D$6</c:f>
              <c:numCache>
                <c:formatCode>General</c:formatCode>
                <c:ptCount val="4"/>
                <c:pt idx="0">
                  <c:v>420000</c:v>
                </c:pt>
                <c:pt idx="1">
                  <c:v>890000</c:v>
                </c:pt>
                <c:pt idx="2">
                  <c:v>560000</c:v>
                </c:pt>
                <c:pt idx="3">
                  <c:v>390000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12-477E-AEC7-298334116A02}"/>
            </c:ext>
          </c:extLst>
        </c:ser>
        <c:ser>
          <c:idx val="2"/>
          <c:order val="2"/>
          <c:tx>
            <c:strRef>
              <c:f>차트작업!$E$2</c:f>
              <c:strCache>
                <c:ptCount val="1"/>
                <c:pt idx="0">
                  <c:v>교통비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차트작업!$B$3:$B$6</c:f>
              <c:strCache>
                <c:ptCount val="4"/>
                <c:pt idx="0">
                  <c:v>생산부</c:v>
                </c:pt>
                <c:pt idx="1">
                  <c:v>영업부</c:v>
                </c:pt>
                <c:pt idx="2">
                  <c:v>관리부</c:v>
                </c:pt>
                <c:pt idx="3">
                  <c:v>기술부</c:v>
                </c:pt>
              </c:strCache>
            </c:strRef>
          </c:cat>
          <c:val>
            <c:numRef>
              <c:f>차트작업!$E$3:$E$6</c:f>
              <c:numCache>
                <c:formatCode>General</c:formatCode>
                <c:ptCount val="4"/>
                <c:pt idx="0">
                  <c:v>570000</c:v>
                </c:pt>
                <c:pt idx="1">
                  <c:v>740000</c:v>
                </c:pt>
                <c:pt idx="2">
                  <c:v>520000</c:v>
                </c:pt>
                <c:pt idx="3">
                  <c:v>410000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12-477E-AEC7-298334116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34921600"/>
        <c:axId val="1034915776"/>
      </c:barChart>
      <c:catAx>
        <c:axId val="1034921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34915776"/>
        <c:crosses val="autoZero"/>
        <c:auto val="1"/>
        <c:lblAlgn val="ctr"/>
        <c:lblOffset val="100"/>
        <c:noMultiLvlLbl val="0"/>
      </c:catAx>
      <c:valAx>
        <c:axId val="103491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34921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12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2"/>
  <sheetViews>
    <sheetView tabSelected="1" workbookViewId="0"/>
  </sheetViews>
  <sheetFormatPr defaultRowHeight="16.5"/>
  <cols>
    <col min="3" max="3" width="14.125" bestFit="1" customWidth="1"/>
    <col min="5" max="5" width="13.875" bestFit="1" customWidth="1"/>
    <col min="7" max="7" width="10.75" bestFit="1" customWidth="1"/>
  </cols>
  <sheetData>
    <row r="1" spans="1:7">
      <c r="A1" s="2" t="s">
        <v>82</v>
      </c>
      <c r="C1" s="2"/>
      <c r="D1" s="2"/>
      <c r="E1" s="2"/>
      <c r="F1" s="2"/>
      <c r="G1" s="2"/>
    </row>
    <row r="2" spans="1:7">
      <c r="B2" s="2"/>
      <c r="C2" s="2"/>
      <c r="D2" s="2"/>
      <c r="E2" s="2"/>
      <c r="F2" s="2"/>
      <c r="G2" s="2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21"/>
  <sheetViews>
    <sheetView workbookViewId="0"/>
  </sheetViews>
  <sheetFormatPr defaultRowHeight="16.5"/>
  <cols>
    <col min="2" max="2" width="16.625" customWidth="1"/>
    <col min="3" max="3" width="13.375" bestFit="1" customWidth="1"/>
  </cols>
  <sheetData>
    <row r="1" spans="1:7">
      <c r="A1" s="7" t="s">
        <v>175</v>
      </c>
      <c r="B1" s="7"/>
      <c r="C1" s="7"/>
      <c r="D1" s="7"/>
      <c r="E1" s="7"/>
      <c r="F1" s="7"/>
      <c r="G1" s="7"/>
    </row>
    <row r="2" spans="1:7">
      <c r="A2" s="7"/>
      <c r="B2" s="7"/>
      <c r="C2" s="7"/>
      <c r="D2" s="7"/>
      <c r="E2" s="7"/>
      <c r="F2" s="7"/>
      <c r="G2" s="7"/>
    </row>
    <row r="3" spans="1:7">
      <c r="A3" s="7" t="s">
        <v>176</v>
      </c>
      <c r="B3" s="7" t="s">
        <v>177</v>
      </c>
      <c r="C3" s="7" t="s">
        <v>178</v>
      </c>
      <c r="D3" s="7" t="s">
        <v>179</v>
      </c>
      <c r="E3" s="7" t="s">
        <v>180</v>
      </c>
      <c r="F3" s="7" t="s">
        <v>181</v>
      </c>
      <c r="G3" s="7" t="s">
        <v>182</v>
      </c>
    </row>
    <row r="4" spans="1:7">
      <c r="A4" s="7" t="s">
        <v>216</v>
      </c>
      <c r="B4" s="7" t="s">
        <v>183</v>
      </c>
      <c r="C4" s="7" t="s">
        <v>184</v>
      </c>
      <c r="D4" s="7">
        <v>50</v>
      </c>
      <c r="E4" s="7">
        <v>55</v>
      </c>
      <c r="F4" s="7">
        <v>8000</v>
      </c>
      <c r="G4" s="7">
        <v>396000</v>
      </c>
    </row>
    <row r="5" spans="1:7">
      <c r="A5" s="7"/>
      <c r="B5" s="7" t="s">
        <v>185</v>
      </c>
      <c r="C5" s="7" t="s">
        <v>186</v>
      </c>
      <c r="D5" s="7">
        <v>90</v>
      </c>
      <c r="E5" s="7">
        <v>100</v>
      </c>
      <c r="F5" s="7">
        <v>25000</v>
      </c>
      <c r="G5" s="7">
        <v>2250000</v>
      </c>
    </row>
    <row r="6" spans="1:7">
      <c r="A6" s="7"/>
      <c r="B6" s="7" t="s">
        <v>187</v>
      </c>
      <c r="C6" s="7" t="s">
        <v>188</v>
      </c>
      <c r="D6" s="7">
        <v>100</v>
      </c>
      <c r="E6" s="7">
        <v>60</v>
      </c>
      <c r="F6" s="7">
        <v>80000</v>
      </c>
      <c r="G6" s="7">
        <v>4320000</v>
      </c>
    </row>
    <row r="7" spans="1:7">
      <c r="A7" s="7" t="s">
        <v>217</v>
      </c>
      <c r="B7" s="7" t="s">
        <v>189</v>
      </c>
      <c r="C7" s="7" t="s">
        <v>190</v>
      </c>
      <c r="D7" s="7">
        <v>10</v>
      </c>
      <c r="E7" s="7">
        <v>30</v>
      </c>
      <c r="F7" s="7">
        <v>20000</v>
      </c>
      <c r="G7" s="7">
        <v>540000</v>
      </c>
    </row>
    <row r="8" spans="1:7">
      <c r="A8" s="7"/>
      <c r="B8" s="7" t="s">
        <v>191</v>
      </c>
      <c r="C8" s="7" t="s">
        <v>192</v>
      </c>
      <c r="D8" s="7">
        <v>200</v>
      </c>
      <c r="E8" s="7">
        <v>130</v>
      </c>
      <c r="F8" s="7">
        <v>50000</v>
      </c>
      <c r="G8" s="7">
        <v>5850000</v>
      </c>
    </row>
    <row r="9" spans="1:7">
      <c r="A9" s="7"/>
      <c r="B9" s="7" t="s">
        <v>193</v>
      </c>
      <c r="C9" s="7" t="s">
        <v>194</v>
      </c>
      <c r="D9" s="7"/>
      <c r="E9" s="7">
        <v>50</v>
      </c>
      <c r="F9" s="7">
        <v>35000</v>
      </c>
      <c r="G9" s="7">
        <v>1575000</v>
      </c>
    </row>
    <row r="10" spans="1:7">
      <c r="A10" s="7" t="s">
        <v>218</v>
      </c>
      <c r="B10" s="7" t="s">
        <v>195</v>
      </c>
      <c r="C10" s="7" t="s">
        <v>196</v>
      </c>
      <c r="D10" s="7"/>
      <c r="E10" s="7">
        <v>80</v>
      </c>
      <c r="F10" s="7">
        <v>53000</v>
      </c>
      <c r="G10" s="7">
        <v>3816000</v>
      </c>
    </row>
    <row r="11" spans="1:7">
      <c r="A11" s="7"/>
      <c r="B11" s="7" t="s">
        <v>193</v>
      </c>
      <c r="C11" s="7" t="s">
        <v>197</v>
      </c>
      <c r="D11" s="7"/>
      <c r="E11" s="7">
        <v>30</v>
      </c>
      <c r="F11" s="7">
        <v>35000</v>
      </c>
      <c r="G11" s="7">
        <v>945000</v>
      </c>
    </row>
    <row r="12" spans="1:7">
      <c r="A12" s="7"/>
      <c r="B12" s="7" t="s">
        <v>198</v>
      </c>
      <c r="C12" s="7" t="s">
        <v>199</v>
      </c>
      <c r="D12" s="7"/>
      <c r="E12" s="7">
        <v>15</v>
      </c>
      <c r="F12" s="7">
        <v>51000</v>
      </c>
      <c r="G12" s="7">
        <v>688500</v>
      </c>
    </row>
    <row r="13" spans="1:7">
      <c r="A13" s="7" t="s">
        <v>200</v>
      </c>
      <c r="B13" s="7"/>
      <c r="C13" s="7"/>
      <c r="D13" s="7"/>
      <c r="E13" s="7">
        <v>550</v>
      </c>
      <c r="F13" s="7">
        <v>357000</v>
      </c>
      <c r="G13" s="7">
        <v>20380500</v>
      </c>
    </row>
    <row r="14" spans="1:7">
      <c r="A14" s="7"/>
      <c r="B14" s="7"/>
      <c r="C14" s="7"/>
      <c r="D14" s="7"/>
      <c r="E14" s="7"/>
      <c r="F14" s="7"/>
      <c r="G14" s="7"/>
    </row>
    <row r="15" spans="1:7">
      <c r="A15" s="7"/>
      <c r="B15" s="7"/>
      <c r="C15" s="7"/>
      <c r="D15" s="7"/>
      <c r="E15" s="7"/>
      <c r="F15" s="7"/>
      <c r="G15" s="7"/>
    </row>
    <row r="16" spans="1:7">
      <c r="A16" s="7"/>
      <c r="B16" s="7"/>
      <c r="C16" s="7"/>
      <c r="D16" s="7"/>
      <c r="E16" s="7"/>
      <c r="F16" s="7"/>
      <c r="G16" s="7"/>
    </row>
    <row r="17" spans="1:7">
      <c r="A17" s="7"/>
      <c r="B17" s="7"/>
      <c r="C17" s="7"/>
      <c r="D17" s="7"/>
      <c r="E17" s="7"/>
      <c r="F17" s="7"/>
      <c r="G17" s="7"/>
    </row>
    <row r="18" spans="1:7">
      <c r="A18" s="7"/>
      <c r="B18" s="7"/>
      <c r="C18" s="7"/>
      <c r="D18" s="7"/>
      <c r="E18" s="7"/>
      <c r="F18" s="7"/>
      <c r="G18" s="7"/>
    </row>
    <row r="19" spans="1:7">
      <c r="A19" s="7"/>
      <c r="B19" s="7"/>
      <c r="C19" s="7"/>
      <c r="D19" s="7"/>
      <c r="E19" s="7"/>
      <c r="F19" s="7"/>
      <c r="G19" s="7"/>
    </row>
    <row r="20" spans="1:7">
      <c r="A20" s="7"/>
      <c r="B20" s="7"/>
      <c r="C20" s="7"/>
      <c r="D20" s="7"/>
      <c r="E20" s="7"/>
      <c r="F20" s="7"/>
      <c r="G20" s="7"/>
    </row>
    <row r="21" spans="1:7">
      <c r="A21" s="7"/>
      <c r="B21" s="7"/>
      <c r="C21" s="7"/>
      <c r="D21" s="7"/>
      <c r="E21" s="7"/>
      <c r="F21" s="7"/>
      <c r="G21" s="7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26"/>
  <sheetViews>
    <sheetView workbookViewId="0"/>
  </sheetViews>
  <sheetFormatPr defaultRowHeight="16.5"/>
  <cols>
    <col min="2" max="2" width="10.375" bestFit="1" customWidth="1"/>
    <col min="3" max="3" width="13.375" bestFit="1" customWidth="1"/>
    <col min="4" max="4" width="6.75" bestFit="1" customWidth="1"/>
    <col min="6" max="6" width="8.125" bestFit="1" customWidth="1"/>
  </cols>
  <sheetData>
    <row r="1" spans="1:7">
      <c r="A1" s="19" t="s">
        <v>219</v>
      </c>
    </row>
    <row r="3" spans="1:7">
      <c r="A3" s="11" t="s">
        <v>92</v>
      </c>
      <c r="B3" s="11" t="s">
        <v>93</v>
      </c>
      <c r="C3" s="11" t="s">
        <v>94</v>
      </c>
      <c r="D3" s="11" t="s">
        <v>95</v>
      </c>
      <c r="E3" s="11" t="s">
        <v>96</v>
      </c>
      <c r="F3" s="11" t="s">
        <v>97</v>
      </c>
      <c r="G3" s="11" t="s">
        <v>98</v>
      </c>
    </row>
    <row r="4" spans="1:7">
      <c r="A4" s="13" t="s">
        <v>99</v>
      </c>
      <c r="B4" s="13" t="s">
        <v>100</v>
      </c>
      <c r="C4" s="14" t="s">
        <v>101</v>
      </c>
      <c r="D4" s="15" t="s">
        <v>102</v>
      </c>
      <c r="E4" s="14">
        <v>60</v>
      </c>
      <c r="F4" s="15">
        <v>45000</v>
      </c>
      <c r="G4" s="16">
        <v>240</v>
      </c>
    </row>
    <row r="5" spans="1:7">
      <c r="A5" s="13" t="s">
        <v>103</v>
      </c>
      <c r="B5" s="13" t="s">
        <v>104</v>
      </c>
      <c r="C5" s="14" t="s">
        <v>101</v>
      </c>
      <c r="D5" s="15" t="s">
        <v>102</v>
      </c>
      <c r="E5" s="14">
        <v>60</v>
      </c>
      <c r="F5" s="15">
        <v>49000</v>
      </c>
      <c r="G5" s="16">
        <v>1000</v>
      </c>
    </row>
    <row r="6" spans="1:7">
      <c r="A6" s="13" t="s">
        <v>105</v>
      </c>
      <c r="B6" s="13" t="s">
        <v>106</v>
      </c>
      <c r="C6" s="14" t="s">
        <v>107</v>
      </c>
      <c r="D6" s="15" t="s">
        <v>102</v>
      </c>
      <c r="E6" s="14">
        <v>60</v>
      </c>
      <c r="F6" s="15">
        <v>45000</v>
      </c>
      <c r="G6" s="16">
        <v>350</v>
      </c>
    </row>
    <row r="7" spans="1:7">
      <c r="A7" s="13" t="s">
        <v>108</v>
      </c>
      <c r="B7" s="13" t="s">
        <v>109</v>
      </c>
      <c r="C7" s="14" t="s">
        <v>110</v>
      </c>
      <c r="D7" s="15" t="s">
        <v>102</v>
      </c>
      <c r="E7" s="14">
        <v>60</v>
      </c>
      <c r="F7" s="15">
        <v>39000</v>
      </c>
      <c r="G7" s="16">
        <v>1200</v>
      </c>
    </row>
    <row r="8" spans="1:7">
      <c r="A8" s="13" t="s">
        <v>111</v>
      </c>
      <c r="B8" s="13" t="s">
        <v>112</v>
      </c>
      <c r="C8" s="14" t="s">
        <v>113</v>
      </c>
      <c r="D8" s="15" t="s">
        <v>102</v>
      </c>
      <c r="E8" s="14">
        <v>60</v>
      </c>
      <c r="F8" s="15">
        <v>39000</v>
      </c>
      <c r="G8" s="16">
        <v>100</v>
      </c>
    </row>
    <row r="9" spans="1:7">
      <c r="A9" s="13" t="s">
        <v>114</v>
      </c>
      <c r="B9" s="13" t="s">
        <v>106</v>
      </c>
      <c r="C9" s="14" t="s">
        <v>110</v>
      </c>
      <c r="D9" s="15" t="s">
        <v>102</v>
      </c>
      <c r="E9" s="14">
        <v>60</v>
      </c>
      <c r="F9" s="15">
        <v>45000</v>
      </c>
      <c r="G9" s="16">
        <v>120</v>
      </c>
    </row>
    <row r="10" spans="1:7">
      <c r="A10" s="13" t="s">
        <v>115</v>
      </c>
      <c r="B10" s="13" t="s">
        <v>100</v>
      </c>
      <c r="C10" s="14" t="s">
        <v>116</v>
      </c>
      <c r="D10" s="15" t="s">
        <v>102</v>
      </c>
      <c r="E10" s="14">
        <v>60</v>
      </c>
      <c r="F10" s="15">
        <v>49000</v>
      </c>
      <c r="G10" s="16">
        <v>1000</v>
      </c>
    </row>
    <row r="11" spans="1:7">
      <c r="A11" s="13" t="s">
        <v>117</v>
      </c>
      <c r="B11" s="13" t="s">
        <v>118</v>
      </c>
      <c r="C11" s="14" t="s">
        <v>119</v>
      </c>
      <c r="D11" s="15" t="s">
        <v>102</v>
      </c>
      <c r="E11" s="14">
        <v>60</v>
      </c>
      <c r="F11" s="15">
        <v>20000</v>
      </c>
      <c r="G11" s="16">
        <v>1000</v>
      </c>
    </row>
    <row r="12" spans="1:7">
      <c r="A12" s="13" t="s">
        <v>120</v>
      </c>
      <c r="B12" s="13" t="s">
        <v>112</v>
      </c>
      <c r="C12" s="14" t="s">
        <v>107</v>
      </c>
      <c r="D12" s="15" t="s">
        <v>102</v>
      </c>
      <c r="E12" s="14">
        <v>60</v>
      </c>
      <c r="F12" s="15">
        <v>40000</v>
      </c>
      <c r="G12" s="16">
        <v>500</v>
      </c>
    </row>
    <row r="13" spans="1:7">
      <c r="A13" s="13" t="s">
        <v>121</v>
      </c>
      <c r="B13" s="13" t="s">
        <v>109</v>
      </c>
      <c r="C13" s="14" t="s">
        <v>113</v>
      </c>
      <c r="D13" s="15" t="s">
        <v>102</v>
      </c>
      <c r="E13" s="14">
        <v>60</v>
      </c>
      <c r="F13" s="15">
        <v>35000</v>
      </c>
      <c r="G13" s="16">
        <v>230</v>
      </c>
    </row>
    <row r="14" spans="1:7">
      <c r="A14" s="13" t="s">
        <v>122</v>
      </c>
      <c r="B14" s="13" t="s">
        <v>109</v>
      </c>
      <c r="C14" s="14" t="s">
        <v>110</v>
      </c>
      <c r="D14" s="15" t="s">
        <v>123</v>
      </c>
      <c r="E14" s="14">
        <v>20</v>
      </c>
      <c r="F14" s="15">
        <v>15600</v>
      </c>
      <c r="G14" s="16">
        <v>200</v>
      </c>
    </row>
    <row r="15" spans="1:7">
      <c r="A15" s="13" t="s">
        <v>124</v>
      </c>
      <c r="B15" s="13" t="s">
        <v>100</v>
      </c>
      <c r="C15" s="14" t="s">
        <v>101</v>
      </c>
      <c r="D15" s="15" t="s">
        <v>123</v>
      </c>
      <c r="E15" s="14">
        <v>20</v>
      </c>
      <c r="F15" s="15">
        <v>15600</v>
      </c>
      <c r="G15" s="16">
        <v>710</v>
      </c>
    </row>
    <row r="16" spans="1:7">
      <c r="A16" s="13" t="s">
        <v>125</v>
      </c>
      <c r="B16" s="13" t="s">
        <v>106</v>
      </c>
      <c r="C16" s="14" t="s">
        <v>107</v>
      </c>
      <c r="D16" s="15" t="s">
        <v>123</v>
      </c>
      <c r="E16" s="14">
        <v>20</v>
      </c>
      <c r="F16" s="15">
        <v>16000</v>
      </c>
      <c r="G16" s="16">
        <v>2000</v>
      </c>
    </row>
    <row r="17" spans="1:7">
      <c r="A17" s="13" t="s">
        <v>126</v>
      </c>
      <c r="B17" s="13" t="s">
        <v>104</v>
      </c>
      <c r="C17" s="14" t="s">
        <v>113</v>
      </c>
      <c r="D17" s="15" t="s">
        <v>123</v>
      </c>
      <c r="E17" s="14">
        <v>20</v>
      </c>
      <c r="F17" s="15">
        <v>14000</v>
      </c>
      <c r="G17" s="16">
        <v>120</v>
      </c>
    </row>
    <row r="18" spans="1:7">
      <c r="A18" s="13" t="s">
        <v>127</v>
      </c>
      <c r="B18" s="13" t="s">
        <v>109</v>
      </c>
      <c r="C18" s="14" t="s">
        <v>101</v>
      </c>
      <c r="D18" s="15" t="s">
        <v>128</v>
      </c>
      <c r="E18" s="14">
        <v>27</v>
      </c>
      <c r="F18" s="15">
        <v>24750.000000000004</v>
      </c>
      <c r="G18" s="16">
        <v>760</v>
      </c>
    </row>
    <row r="19" spans="1:7">
      <c r="A19" s="13" t="s">
        <v>129</v>
      </c>
      <c r="B19" s="13" t="s">
        <v>100</v>
      </c>
      <c r="C19" s="14" t="s">
        <v>107</v>
      </c>
      <c r="D19" s="15" t="s">
        <v>128</v>
      </c>
      <c r="E19" s="14">
        <v>27</v>
      </c>
      <c r="F19" s="15">
        <v>24750.000000000004</v>
      </c>
      <c r="G19" s="16">
        <v>150</v>
      </c>
    </row>
    <row r="20" spans="1:7">
      <c r="A20" s="13" t="s">
        <v>130</v>
      </c>
      <c r="B20" s="13" t="s">
        <v>106</v>
      </c>
      <c r="C20" s="14" t="s">
        <v>110</v>
      </c>
      <c r="D20" s="15" t="s">
        <v>128</v>
      </c>
      <c r="E20" s="14">
        <v>27</v>
      </c>
      <c r="F20" s="15">
        <v>24750.000000000004</v>
      </c>
      <c r="G20" s="16">
        <v>2000</v>
      </c>
    </row>
    <row r="21" spans="1:7">
      <c r="A21" s="13" t="s">
        <v>131</v>
      </c>
      <c r="B21" s="13" t="s">
        <v>106</v>
      </c>
      <c r="C21" s="14" t="s">
        <v>116</v>
      </c>
      <c r="D21" s="15" t="s">
        <v>128</v>
      </c>
      <c r="E21" s="14">
        <v>27</v>
      </c>
      <c r="F21" s="15">
        <v>26950.000000000004</v>
      </c>
      <c r="G21" s="16">
        <v>2300</v>
      </c>
    </row>
    <row r="22" spans="1:7">
      <c r="A22" s="13" t="s">
        <v>132</v>
      </c>
      <c r="B22" s="13" t="s">
        <v>109</v>
      </c>
      <c r="C22" s="14" t="s">
        <v>133</v>
      </c>
      <c r="D22" s="15" t="s">
        <v>134</v>
      </c>
      <c r="E22" s="14">
        <v>4</v>
      </c>
      <c r="F22" s="15">
        <v>24750.000000000004</v>
      </c>
      <c r="G22" s="16">
        <v>1320</v>
      </c>
    </row>
    <row r="23" spans="1:7">
      <c r="A23" s="13" t="s">
        <v>135</v>
      </c>
      <c r="B23" s="13" t="s">
        <v>106</v>
      </c>
      <c r="C23" s="14" t="s">
        <v>101</v>
      </c>
      <c r="D23" s="15" t="s">
        <v>134</v>
      </c>
      <c r="E23" s="14">
        <v>4</v>
      </c>
      <c r="F23" s="15">
        <v>26950.000000000004</v>
      </c>
      <c r="G23" s="16">
        <v>53</v>
      </c>
    </row>
    <row r="24" spans="1:7">
      <c r="A24" s="13" t="s">
        <v>136</v>
      </c>
      <c r="B24" s="13" t="s">
        <v>100</v>
      </c>
      <c r="C24" s="14" t="s">
        <v>137</v>
      </c>
      <c r="D24" s="15" t="s">
        <v>134</v>
      </c>
      <c r="E24" s="14">
        <v>4</v>
      </c>
      <c r="F24" s="15">
        <v>24750.000000000004</v>
      </c>
      <c r="G24" s="16">
        <v>230</v>
      </c>
    </row>
    <row r="25" spans="1:7">
      <c r="A25" s="13" t="s">
        <v>138</v>
      </c>
      <c r="B25" s="13" t="s">
        <v>100</v>
      </c>
      <c r="C25" s="14" t="s">
        <v>110</v>
      </c>
      <c r="D25" s="15" t="s">
        <v>134</v>
      </c>
      <c r="E25" s="14">
        <v>4</v>
      </c>
      <c r="F25" s="15">
        <v>24750.000000000004</v>
      </c>
      <c r="G25" s="16">
        <v>100</v>
      </c>
    </row>
    <row r="26" spans="1:7">
      <c r="A26" s="13" t="s">
        <v>139</v>
      </c>
      <c r="B26" s="13" t="s">
        <v>109</v>
      </c>
      <c r="C26" s="14" t="s">
        <v>116</v>
      </c>
      <c r="D26" s="15" t="s">
        <v>134</v>
      </c>
      <c r="E26" s="14">
        <v>4</v>
      </c>
      <c r="F26" s="15">
        <v>26950.000000000004</v>
      </c>
      <c r="G26" s="16">
        <v>50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L38"/>
  <sheetViews>
    <sheetView workbookViewId="0"/>
  </sheetViews>
  <sheetFormatPr defaultRowHeight="16.5"/>
  <cols>
    <col min="2" max="2" width="13.625" customWidth="1"/>
    <col min="4" max="4" width="10.625" bestFit="1" customWidth="1"/>
    <col min="12" max="12" width="12.375" bestFit="1" customWidth="1"/>
  </cols>
  <sheetData>
    <row r="1" spans="1:12">
      <c r="A1" s="23" t="s">
        <v>225</v>
      </c>
      <c r="B1" s="24" t="s">
        <v>226</v>
      </c>
      <c r="C1" s="25"/>
      <c r="D1" s="25"/>
      <c r="E1" s="25"/>
      <c r="G1" s="26" t="s">
        <v>227</v>
      </c>
      <c r="H1" s="27" t="s">
        <v>228</v>
      </c>
      <c r="I1" s="28"/>
      <c r="J1" s="28"/>
      <c r="K1" s="28"/>
      <c r="L1" s="28"/>
    </row>
    <row r="2" spans="1:12">
      <c r="A2" s="29" t="s">
        <v>229</v>
      </c>
      <c r="B2" s="30" t="s">
        <v>230</v>
      </c>
      <c r="C2" s="30" t="s">
        <v>231</v>
      </c>
      <c r="D2" s="29" t="s">
        <v>232</v>
      </c>
      <c r="E2" s="31" t="s">
        <v>233</v>
      </c>
      <c r="G2" s="13" t="s">
        <v>234</v>
      </c>
      <c r="H2" s="13" t="s">
        <v>235</v>
      </c>
      <c r="I2" s="13" t="s">
        <v>236</v>
      </c>
      <c r="K2" t="s">
        <v>237</v>
      </c>
    </row>
    <row r="3" spans="1:12">
      <c r="A3" s="32" t="s">
        <v>238</v>
      </c>
      <c r="B3" s="33">
        <v>95</v>
      </c>
      <c r="C3" s="33">
        <v>84</v>
      </c>
      <c r="D3" s="32">
        <f t="shared" ref="D3:D10" si="0">SUM(B3:C3)</f>
        <v>179</v>
      </c>
      <c r="E3" s="32"/>
      <c r="G3" s="22" t="s">
        <v>239</v>
      </c>
      <c r="H3" s="22" t="s">
        <v>240</v>
      </c>
      <c r="I3" s="22">
        <v>85</v>
      </c>
      <c r="K3" s="22" t="s">
        <v>236</v>
      </c>
      <c r="L3" s="22" t="s">
        <v>241</v>
      </c>
    </row>
    <row r="4" spans="1:12">
      <c r="A4" s="32" t="s">
        <v>242</v>
      </c>
      <c r="B4" s="33">
        <v>92</v>
      </c>
      <c r="C4" s="33">
        <v>95</v>
      </c>
      <c r="D4" s="32">
        <f t="shared" si="0"/>
        <v>187</v>
      </c>
      <c r="E4" s="32"/>
      <c r="G4" s="22" t="s">
        <v>243</v>
      </c>
      <c r="H4" s="22" t="s">
        <v>244</v>
      </c>
      <c r="I4" s="22">
        <v>90</v>
      </c>
      <c r="K4" s="22">
        <v>0</v>
      </c>
      <c r="L4" s="22" t="s">
        <v>245</v>
      </c>
    </row>
    <row r="5" spans="1:12">
      <c r="A5" s="32" t="s">
        <v>246</v>
      </c>
      <c r="B5" s="33">
        <v>85</v>
      </c>
      <c r="C5" s="33">
        <v>92</v>
      </c>
      <c r="D5" s="32">
        <f t="shared" si="0"/>
        <v>177</v>
      </c>
      <c r="E5" s="32"/>
      <c r="G5" s="22" t="s">
        <v>247</v>
      </c>
      <c r="H5" s="22" t="s">
        <v>248</v>
      </c>
      <c r="I5" s="22">
        <v>95</v>
      </c>
      <c r="K5" s="22">
        <v>60</v>
      </c>
      <c r="L5" s="22" t="s">
        <v>249</v>
      </c>
    </row>
    <row r="6" spans="1:12">
      <c r="A6" s="32" t="s">
        <v>250</v>
      </c>
      <c r="B6" s="33">
        <v>75</v>
      </c>
      <c r="C6" s="33">
        <v>95</v>
      </c>
      <c r="D6" s="32">
        <f t="shared" si="0"/>
        <v>170</v>
      </c>
      <c r="E6" s="32"/>
      <c r="G6" s="22" t="s">
        <v>251</v>
      </c>
      <c r="H6" s="22" t="s">
        <v>252</v>
      </c>
      <c r="I6" s="22">
        <v>85</v>
      </c>
      <c r="K6" s="22">
        <v>70</v>
      </c>
      <c r="L6" s="22" t="s">
        <v>253</v>
      </c>
    </row>
    <row r="7" spans="1:12">
      <c r="A7" s="32" t="s">
        <v>254</v>
      </c>
      <c r="B7" s="33">
        <v>96</v>
      </c>
      <c r="C7" s="33">
        <v>82</v>
      </c>
      <c r="D7" s="32">
        <f t="shared" si="0"/>
        <v>178</v>
      </c>
      <c r="E7" s="32"/>
      <c r="G7" s="22" t="s">
        <v>255</v>
      </c>
      <c r="H7" s="22" t="s">
        <v>244</v>
      </c>
      <c r="I7" s="22">
        <v>95</v>
      </c>
      <c r="K7" s="22">
        <v>80</v>
      </c>
      <c r="L7" s="22" t="s">
        <v>256</v>
      </c>
    </row>
    <row r="8" spans="1:12">
      <c r="A8" s="34" t="s">
        <v>257</v>
      </c>
      <c r="B8" s="33">
        <v>95</v>
      </c>
      <c r="C8" s="33">
        <v>96</v>
      </c>
      <c r="D8" s="32">
        <f t="shared" si="0"/>
        <v>191</v>
      </c>
      <c r="E8" s="32"/>
      <c r="G8" s="22" t="s">
        <v>258</v>
      </c>
      <c r="H8" s="22" t="s">
        <v>248</v>
      </c>
      <c r="I8" s="22">
        <v>80</v>
      </c>
      <c r="K8" s="22">
        <v>90</v>
      </c>
      <c r="L8" s="22" t="s">
        <v>259</v>
      </c>
    </row>
    <row r="9" spans="1:12">
      <c r="A9" s="34" t="s">
        <v>260</v>
      </c>
      <c r="B9" s="33">
        <v>78</v>
      </c>
      <c r="C9" s="33">
        <v>74</v>
      </c>
      <c r="D9" s="32">
        <f t="shared" si="0"/>
        <v>152</v>
      </c>
      <c r="E9" s="32"/>
    </row>
    <row r="10" spans="1:12">
      <c r="A10" s="34" t="s">
        <v>261</v>
      </c>
      <c r="B10" s="33">
        <v>92</v>
      </c>
      <c r="C10" s="33">
        <v>88</v>
      </c>
      <c r="D10" s="32">
        <f t="shared" si="0"/>
        <v>180</v>
      </c>
      <c r="E10" s="32"/>
      <c r="G10" s="22" t="s">
        <v>262</v>
      </c>
      <c r="H10" s="35" t="s">
        <v>263</v>
      </c>
    </row>
    <row r="11" spans="1:12">
      <c r="G11" s="22" t="s">
        <v>252</v>
      </c>
      <c r="H11" s="22"/>
    </row>
    <row r="12" spans="1:12">
      <c r="A12" s="36" t="s">
        <v>264</v>
      </c>
      <c r="B12" s="19" t="s">
        <v>265</v>
      </c>
      <c r="G12" s="22" t="s">
        <v>266</v>
      </c>
      <c r="H12" s="22"/>
    </row>
    <row r="13" spans="1:12">
      <c r="A13" s="22" t="s">
        <v>267</v>
      </c>
      <c r="B13" s="22" t="s">
        <v>268</v>
      </c>
      <c r="C13" s="22" t="s">
        <v>269</v>
      </c>
      <c r="D13" s="37" t="s">
        <v>270</v>
      </c>
      <c r="G13" s="22" t="s">
        <v>248</v>
      </c>
      <c r="H13" s="22"/>
    </row>
    <row r="14" spans="1:12">
      <c r="A14" s="22" t="s">
        <v>271</v>
      </c>
      <c r="B14" s="22" t="s">
        <v>272</v>
      </c>
      <c r="C14" s="22">
        <v>20000</v>
      </c>
      <c r="D14" s="22"/>
    </row>
    <row r="15" spans="1:12">
      <c r="A15" s="22" t="s">
        <v>273</v>
      </c>
      <c r="B15" s="22" t="s">
        <v>274</v>
      </c>
      <c r="C15" s="22">
        <v>20001</v>
      </c>
      <c r="D15" s="22"/>
      <c r="G15" s="36" t="s">
        <v>275</v>
      </c>
      <c r="H15" s="19" t="s">
        <v>276</v>
      </c>
    </row>
    <row r="16" spans="1:12">
      <c r="A16" s="22" t="s">
        <v>277</v>
      </c>
      <c r="B16" s="22" t="s">
        <v>272</v>
      </c>
      <c r="C16" s="22">
        <v>20002</v>
      </c>
      <c r="D16" s="22"/>
      <c r="G16" s="22" t="s">
        <v>278</v>
      </c>
      <c r="H16" s="22" t="s">
        <v>268</v>
      </c>
      <c r="I16" s="22" t="s">
        <v>279</v>
      </c>
      <c r="J16" s="22" t="s">
        <v>280</v>
      </c>
      <c r="K16" s="22" t="s">
        <v>281</v>
      </c>
    </row>
    <row r="17" spans="1:12">
      <c r="A17" s="22" t="s">
        <v>282</v>
      </c>
      <c r="B17" s="22" t="s">
        <v>274</v>
      </c>
      <c r="C17" s="22">
        <v>20003</v>
      </c>
      <c r="D17" s="22"/>
      <c r="G17" s="22" t="s">
        <v>273</v>
      </c>
      <c r="H17" s="22" t="s">
        <v>283</v>
      </c>
      <c r="I17" s="22">
        <v>98</v>
      </c>
      <c r="J17" s="22">
        <v>92</v>
      </c>
      <c r="K17" s="38">
        <f t="shared" ref="K17:K26" si="1">AVERAGE(I17:J17)</f>
        <v>95</v>
      </c>
    </row>
    <row r="18" spans="1:12">
      <c r="A18" s="22" t="s">
        <v>284</v>
      </c>
      <c r="B18" s="22" t="s">
        <v>274</v>
      </c>
      <c r="C18" s="22">
        <v>20004</v>
      </c>
      <c r="D18" s="22"/>
      <c r="G18" s="22" t="s">
        <v>277</v>
      </c>
      <c r="H18" s="22" t="s">
        <v>272</v>
      </c>
      <c r="I18" s="22">
        <v>85</v>
      </c>
      <c r="J18" s="22">
        <v>95</v>
      </c>
      <c r="K18" s="38">
        <f t="shared" si="1"/>
        <v>90</v>
      </c>
    </row>
    <row r="19" spans="1:12">
      <c r="A19" s="22" t="s">
        <v>286</v>
      </c>
      <c r="B19" s="22" t="s">
        <v>272</v>
      </c>
      <c r="C19" s="22">
        <v>20005</v>
      </c>
      <c r="D19" s="22"/>
      <c r="G19" s="22" t="s">
        <v>287</v>
      </c>
      <c r="H19" s="22" t="s">
        <v>274</v>
      </c>
      <c r="I19" s="22">
        <v>89</v>
      </c>
      <c r="J19" s="22">
        <v>86</v>
      </c>
      <c r="K19" s="38">
        <f t="shared" si="1"/>
        <v>87.5</v>
      </c>
    </row>
    <row r="20" spans="1:12">
      <c r="A20" s="22" t="s">
        <v>288</v>
      </c>
      <c r="B20" s="22" t="s">
        <v>274</v>
      </c>
      <c r="C20" s="22">
        <v>20006</v>
      </c>
      <c r="D20" s="22"/>
      <c r="G20" s="22" t="s">
        <v>289</v>
      </c>
      <c r="H20" s="22" t="s">
        <v>274</v>
      </c>
      <c r="I20" s="22">
        <v>78</v>
      </c>
      <c r="J20" s="22">
        <v>86</v>
      </c>
      <c r="K20" s="38">
        <f t="shared" si="1"/>
        <v>82</v>
      </c>
    </row>
    <row r="21" spans="1:12">
      <c r="A21" s="22" t="s">
        <v>290</v>
      </c>
      <c r="B21" s="22" t="s">
        <v>291</v>
      </c>
      <c r="C21" s="22">
        <v>20007</v>
      </c>
      <c r="D21" s="22"/>
      <c r="G21" s="22" t="s">
        <v>285</v>
      </c>
      <c r="H21" s="22" t="s">
        <v>272</v>
      </c>
      <c r="I21" s="22">
        <v>68</v>
      </c>
      <c r="J21" s="22">
        <v>85</v>
      </c>
      <c r="K21" s="38">
        <f t="shared" si="1"/>
        <v>76.5</v>
      </c>
      <c r="L21" s="39" t="s">
        <v>292</v>
      </c>
    </row>
    <row r="22" spans="1:12">
      <c r="A22" s="22" t="s">
        <v>293</v>
      </c>
      <c r="B22" s="22" t="s">
        <v>291</v>
      </c>
      <c r="C22" s="22">
        <v>20008</v>
      </c>
      <c r="D22" s="22"/>
      <c r="G22" s="22" t="s">
        <v>288</v>
      </c>
      <c r="H22" s="22" t="s">
        <v>274</v>
      </c>
      <c r="I22" s="22">
        <v>92</v>
      </c>
      <c r="J22" s="22">
        <v>90</v>
      </c>
      <c r="K22" s="38">
        <f t="shared" si="1"/>
        <v>91</v>
      </c>
      <c r="L22" s="22"/>
    </row>
    <row r="23" spans="1:12">
      <c r="A23" s="22" t="s">
        <v>294</v>
      </c>
      <c r="B23" s="22" t="s">
        <v>274</v>
      </c>
      <c r="C23" s="22">
        <v>20009</v>
      </c>
      <c r="D23" s="22"/>
      <c r="G23" s="22" t="s">
        <v>290</v>
      </c>
      <c r="H23" s="22" t="s">
        <v>272</v>
      </c>
      <c r="I23" s="22">
        <v>88</v>
      </c>
      <c r="J23" s="22">
        <v>85</v>
      </c>
      <c r="K23" s="38">
        <f t="shared" si="1"/>
        <v>86.5</v>
      </c>
      <c r="L23" s="22"/>
    </row>
    <row r="24" spans="1:12">
      <c r="A24" s="22" t="s">
        <v>296</v>
      </c>
      <c r="B24" s="22" t="s">
        <v>274</v>
      </c>
      <c r="C24" s="22">
        <v>20010</v>
      </c>
      <c r="D24" s="22"/>
      <c r="G24" s="22" t="s">
        <v>293</v>
      </c>
      <c r="H24" s="22" t="s">
        <v>272</v>
      </c>
      <c r="I24" s="22">
        <v>92</v>
      </c>
      <c r="J24" s="22">
        <v>93</v>
      </c>
      <c r="K24" s="38">
        <f t="shared" si="1"/>
        <v>92.5</v>
      </c>
    </row>
    <row r="25" spans="1:12">
      <c r="A25" s="22" t="s">
        <v>297</v>
      </c>
      <c r="B25" s="22" t="s">
        <v>272</v>
      </c>
      <c r="C25" s="22">
        <v>20011</v>
      </c>
      <c r="D25" s="22"/>
      <c r="G25" s="22" t="s">
        <v>294</v>
      </c>
      <c r="H25" s="22" t="s">
        <v>283</v>
      </c>
      <c r="I25" s="22">
        <v>86</v>
      </c>
      <c r="J25" s="22">
        <v>75</v>
      </c>
      <c r="K25" s="38">
        <f t="shared" si="1"/>
        <v>80.5</v>
      </c>
      <c r="L25" s="37" t="s">
        <v>298</v>
      </c>
    </row>
    <row r="26" spans="1:12">
      <c r="G26" s="22" t="s">
        <v>295</v>
      </c>
      <c r="H26" s="22" t="s">
        <v>299</v>
      </c>
      <c r="I26" s="22">
        <v>75</v>
      </c>
      <c r="J26" s="22">
        <v>83</v>
      </c>
      <c r="K26" s="38">
        <f t="shared" si="1"/>
        <v>79</v>
      </c>
      <c r="L26" s="22"/>
    </row>
    <row r="29" spans="1:12">
      <c r="A29" s="36" t="s">
        <v>300</v>
      </c>
      <c r="B29" s="19" t="s">
        <v>301</v>
      </c>
      <c r="F29" s="40" t="s">
        <v>302</v>
      </c>
    </row>
    <row r="30" spans="1:12">
      <c r="A30" s="13" t="s">
        <v>303</v>
      </c>
      <c r="B30" s="13" t="s">
        <v>304</v>
      </c>
      <c r="C30" s="13" t="s">
        <v>305</v>
      </c>
      <c r="D30" s="37" t="s">
        <v>306</v>
      </c>
      <c r="F30" s="13" t="s">
        <v>307</v>
      </c>
      <c r="G30" s="13" t="s">
        <v>308</v>
      </c>
      <c r="H30" s="13" t="s">
        <v>309</v>
      </c>
      <c r="I30" s="13" t="s">
        <v>310</v>
      </c>
      <c r="J30" s="13" t="s">
        <v>311</v>
      </c>
    </row>
    <row r="31" spans="1:12">
      <c r="A31" s="22" t="s">
        <v>312</v>
      </c>
      <c r="B31" s="22" t="s">
        <v>313</v>
      </c>
      <c r="C31" s="22">
        <v>5</v>
      </c>
      <c r="D31" s="8"/>
      <c r="F31" s="22" t="s">
        <v>314</v>
      </c>
      <c r="G31" s="8">
        <v>800000</v>
      </c>
      <c r="H31" s="8">
        <v>450000</v>
      </c>
      <c r="I31" s="8">
        <v>750000</v>
      </c>
      <c r="J31" s="8">
        <v>400000</v>
      </c>
    </row>
    <row r="32" spans="1:12">
      <c r="A32" s="22" t="s">
        <v>315</v>
      </c>
      <c r="B32" s="22" t="s">
        <v>316</v>
      </c>
      <c r="C32" s="22">
        <v>6</v>
      </c>
      <c r="D32" s="8"/>
      <c r="F32" s="22" t="s">
        <v>317</v>
      </c>
      <c r="G32" s="8">
        <v>950000</v>
      </c>
      <c r="H32" s="8">
        <v>550000</v>
      </c>
      <c r="I32" s="8">
        <v>900000</v>
      </c>
      <c r="J32" s="8">
        <v>500000</v>
      </c>
    </row>
    <row r="33" spans="1:10">
      <c r="A33" s="22" t="s">
        <v>318</v>
      </c>
      <c r="B33" s="22" t="s">
        <v>319</v>
      </c>
      <c r="C33" s="22">
        <v>7</v>
      </c>
      <c r="D33" s="8"/>
      <c r="F33" s="20"/>
      <c r="G33" s="20"/>
      <c r="H33" s="20"/>
      <c r="I33" s="20"/>
      <c r="J33" s="20"/>
    </row>
    <row r="34" spans="1:10">
      <c r="A34" s="22" t="s">
        <v>315</v>
      </c>
      <c r="B34" s="22" t="s">
        <v>320</v>
      </c>
      <c r="C34" s="22">
        <v>4</v>
      </c>
      <c r="D34" s="8"/>
      <c r="F34" s="20"/>
      <c r="G34" s="20"/>
      <c r="H34" s="20"/>
      <c r="I34" s="20"/>
      <c r="J34" s="20"/>
    </row>
    <row r="35" spans="1:10">
      <c r="A35" s="22" t="s">
        <v>321</v>
      </c>
      <c r="B35" s="22" t="s">
        <v>322</v>
      </c>
      <c r="C35" s="22">
        <v>5</v>
      </c>
      <c r="D35" s="8"/>
      <c r="F35" s="20"/>
      <c r="G35" s="20"/>
      <c r="H35" s="20"/>
      <c r="I35" s="20"/>
      <c r="J35" s="20"/>
    </row>
    <row r="36" spans="1:10">
      <c r="A36" s="22" t="s">
        <v>312</v>
      </c>
      <c r="B36" s="22" t="s">
        <v>316</v>
      </c>
      <c r="C36" s="22">
        <v>6</v>
      </c>
      <c r="D36" s="8"/>
    </row>
    <row r="37" spans="1:10">
      <c r="A37" s="22" t="s">
        <v>315</v>
      </c>
      <c r="B37" s="22" t="s">
        <v>323</v>
      </c>
      <c r="C37" s="22">
        <v>5</v>
      </c>
      <c r="D37" s="8"/>
    </row>
    <row r="38" spans="1:10">
      <c r="A38" s="22" t="s">
        <v>324</v>
      </c>
      <c r="B38" s="22" t="s">
        <v>325</v>
      </c>
      <c r="C38" s="22">
        <v>8</v>
      </c>
      <c r="D38" s="8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27"/>
  <sheetViews>
    <sheetView workbookViewId="0"/>
  </sheetViews>
  <sheetFormatPr defaultRowHeight="16.5"/>
  <cols>
    <col min="1" max="1" width="12.25" customWidth="1"/>
    <col min="2" max="2" width="17" bestFit="1" customWidth="1"/>
    <col min="3" max="3" width="13.375" customWidth="1"/>
    <col min="4" max="4" width="11.625" customWidth="1"/>
    <col min="5" max="5" width="14.375" bestFit="1" customWidth="1"/>
    <col min="6" max="6" width="10.75" bestFit="1" customWidth="1"/>
    <col min="7" max="7" width="13.625" bestFit="1" customWidth="1"/>
    <col min="8" max="8" width="8.5" bestFit="1" customWidth="1"/>
  </cols>
  <sheetData>
    <row r="1" spans="1:8">
      <c r="A1" t="s">
        <v>224</v>
      </c>
    </row>
    <row r="3" spans="1:8">
      <c r="A3" s="3" t="s">
        <v>8</v>
      </c>
      <c r="B3" s="3" t="s">
        <v>9</v>
      </c>
      <c r="C3" s="3" t="s">
        <v>10</v>
      </c>
      <c r="D3" s="3" t="s">
        <v>11</v>
      </c>
      <c r="E3" s="3" t="s">
        <v>12</v>
      </c>
      <c r="F3" s="3" t="s">
        <v>13</v>
      </c>
      <c r="G3" s="3" t="s">
        <v>14</v>
      </c>
      <c r="H3" s="3" t="s">
        <v>15</v>
      </c>
    </row>
    <row r="4" spans="1:8">
      <c r="A4" s="4" t="s">
        <v>16</v>
      </c>
      <c r="B4" s="4" t="s">
        <v>17</v>
      </c>
      <c r="C4" s="4" t="s">
        <v>18</v>
      </c>
      <c r="D4" s="4" t="s">
        <v>19</v>
      </c>
      <c r="E4" s="5">
        <v>27000</v>
      </c>
      <c r="F4" s="6">
        <v>45574</v>
      </c>
      <c r="G4" s="4">
        <v>24</v>
      </c>
      <c r="H4" s="4">
        <v>10</v>
      </c>
    </row>
    <row r="5" spans="1:8">
      <c r="A5" s="4" t="s">
        <v>20</v>
      </c>
      <c r="B5" s="4" t="s">
        <v>21</v>
      </c>
      <c r="C5" s="4" t="s">
        <v>22</v>
      </c>
      <c r="D5" s="4" t="s">
        <v>23</v>
      </c>
      <c r="E5" s="5">
        <v>30000</v>
      </c>
      <c r="F5" s="6">
        <v>45296</v>
      </c>
      <c r="G5" s="4">
        <v>18</v>
      </c>
      <c r="H5" s="4">
        <v>15</v>
      </c>
    </row>
    <row r="6" spans="1:8">
      <c r="A6" s="4" t="s">
        <v>24</v>
      </c>
      <c r="B6" s="4" t="s">
        <v>25</v>
      </c>
      <c r="C6" s="4" t="s">
        <v>26</v>
      </c>
      <c r="D6" s="4" t="s">
        <v>27</v>
      </c>
      <c r="E6" s="5">
        <v>50000</v>
      </c>
      <c r="F6" s="6">
        <v>45360</v>
      </c>
      <c r="G6" s="4">
        <v>36</v>
      </c>
      <c r="H6" s="4">
        <v>9</v>
      </c>
    </row>
    <row r="7" spans="1:8">
      <c r="A7" s="4" t="s">
        <v>28</v>
      </c>
      <c r="B7" s="4" t="s">
        <v>29</v>
      </c>
      <c r="C7" s="4" t="s">
        <v>220</v>
      </c>
      <c r="D7" s="4" t="s">
        <v>27</v>
      </c>
      <c r="E7" s="5">
        <v>200000</v>
      </c>
      <c r="F7" s="6">
        <v>45387</v>
      </c>
      <c r="G7" s="4">
        <v>24</v>
      </c>
      <c r="H7" s="4">
        <v>25</v>
      </c>
    </row>
    <row r="8" spans="1:8">
      <c r="A8" s="4" t="s">
        <v>30</v>
      </c>
      <c r="B8" s="4" t="s">
        <v>31</v>
      </c>
      <c r="C8" s="4" t="s">
        <v>32</v>
      </c>
      <c r="D8" s="4" t="s">
        <v>33</v>
      </c>
      <c r="E8" s="5">
        <v>35000</v>
      </c>
      <c r="F8" s="6">
        <v>45381</v>
      </c>
      <c r="G8" s="4">
        <v>12</v>
      </c>
      <c r="H8" s="4">
        <v>12</v>
      </c>
    </row>
    <row r="9" spans="1:8">
      <c r="A9" s="4" t="s">
        <v>34</v>
      </c>
      <c r="B9" s="4" t="s">
        <v>35</v>
      </c>
      <c r="C9" s="4" t="s">
        <v>36</v>
      </c>
      <c r="D9" s="4" t="s">
        <v>37</v>
      </c>
      <c r="E9" s="5">
        <v>65000</v>
      </c>
      <c r="F9" s="6">
        <v>45636</v>
      </c>
      <c r="G9" s="4">
        <v>12</v>
      </c>
      <c r="H9" s="4">
        <v>8</v>
      </c>
    </row>
    <row r="10" spans="1:8">
      <c r="A10" s="4" t="s">
        <v>38</v>
      </c>
      <c r="B10" s="4" t="s">
        <v>39</v>
      </c>
      <c r="C10" s="4" t="s">
        <v>40</v>
      </c>
      <c r="D10" s="4" t="s">
        <v>23</v>
      </c>
      <c r="E10" s="5">
        <v>100000</v>
      </c>
      <c r="F10" s="6">
        <v>45574</v>
      </c>
      <c r="G10" s="4">
        <v>12</v>
      </c>
      <c r="H10" s="4">
        <v>11</v>
      </c>
    </row>
    <row r="11" spans="1:8">
      <c r="A11" s="4" t="s">
        <v>41</v>
      </c>
      <c r="B11" s="4" t="s">
        <v>42</v>
      </c>
      <c r="C11" s="4" t="s">
        <v>26</v>
      </c>
      <c r="D11" s="4" t="s">
        <v>23</v>
      </c>
      <c r="E11" s="5">
        <v>150000</v>
      </c>
      <c r="F11" s="6">
        <v>45544</v>
      </c>
      <c r="G11" s="4">
        <v>12</v>
      </c>
      <c r="H11" s="4">
        <v>14</v>
      </c>
    </row>
    <row r="12" spans="1:8">
      <c r="A12" s="4" t="s">
        <v>43</v>
      </c>
      <c r="B12" s="4" t="s">
        <v>44</v>
      </c>
      <c r="C12" s="4" t="s">
        <v>221</v>
      </c>
      <c r="D12" s="4" t="s">
        <v>33</v>
      </c>
      <c r="E12" s="5">
        <v>80000</v>
      </c>
      <c r="F12" s="6">
        <v>45512</v>
      </c>
      <c r="G12" s="4">
        <v>24</v>
      </c>
      <c r="H12" s="4">
        <v>20</v>
      </c>
    </row>
    <row r="13" spans="1:8">
      <c r="A13" s="4" t="s">
        <v>45</v>
      </c>
      <c r="B13" s="4" t="s">
        <v>46</v>
      </c>
      <c r="C13" s="4" t="s">
        <v>32</v>
      </c>
      <c r="D13" s="4" t="s">
        <v>47</v>
      </c>
      <c r="E13" s="5">
        <v>40000</v>
      </c>
      <c r="F13" s="6">
        <v>45480</v>
      </c>
      <c r="G13" s="4">
        <v>18</v>
      </c>
      <c r="H13" s="4">
        <v>17</v>
      </c>
    </row>
    <row r="14" spans="1:8">
      <c r="A14" s="4" t="s">
        <v>48</v>
      </c>
      <c r="B14" s="4" t="s">
        <v>49</v>
      </c>
      <c r="C14" s="4" t="s">
        <v>55</v>
      </c>
      <c r="D14" s="4" t="s">
        <v>47</v>
      </c>
      <c r="E14" s="5">
        <v>180000</v>
      </c>
      <c r="F14" s="6">
        <v>45413</v>
      </c>
      <c r="G14" s="4">
        <v>12</v>
      </c>
      <c r="H14" s="4">
        <v>10</v>
      </c>
    </row>
    <row r="15" spans="1:8">
      <c r="A15" s="4" t="s">
        <v>50</v>
      </c>
      <c r="B15" s="4" t="s">
        <v>51</v>
      </c>
      <c r="C15" s="4" t="s">
        <v>222</v>
      </c>
      <c r="D15" s="4" t="s">
        <v>52</v>
      </c>
      <c r="E15" s="5">
        <v>45000</v>
      </c>
      <c r="F15" s="6">
        <v>45445</v>
      </c>
      <c r="G15" s="4">
        <v>12</v>
      </c>
      <c r="H15" s="4">
        <v>8</v>
      </c>
    </row>
    <row r="16" spans="1:8">
      <c r="A16" s="4" t="s">
        <v>53</v>
      </c>
      <c r="B16" s="4" t="s">
        <v>54</v>
      </c>
      <c r="C16" s="4" t="s">
        <v>55</v>
      </c>
      <c r="D16" s="4" t="s">
        <v>37</v>
      </c>
      <c r="E16" s="5">
        <v>50000</v>
      </c>
      <c r="F16" s="6">
        <v>45449</v>
      </c>
      <c r="G16" s="4">
        <v>18</v>
      </c>
      <c r="H16" s="4">
        <v>7</v>
      </c>
    </row>
    <row r="17" spans="1:8">
      <c r="A17" s="4" t="s">
        <v>56</v>
      </c>
      <c r="B17" s="4" t="s">
        <v>57</v>
      </c>
      <c r="C17" s="4" t="s">
        <v>18</v>
      </c>
      <c r="D17" s="4" t="s">
        <v>37</v>
      </c>
      <c r="E17" s="5">
        <v>38000</v>
      </c>
      <c r="F17" s="6">
        <v>45418</v>
      </c>
      <c r="G17" s="4">
        <v>24</v>
      </c>
      <c r="H17" s="4">
        <v>30</v>
      </c>
    </row>
    <row r="18" spans="1:8">
      <c r="A18" s="4" t="s">
        <v>58</v>
      </c>
      <c r="B18" s="4" t="s">
        <v>59</v>
      </c>
      <c r="C18" s="4" t="s">
        <v>40</v>
      </c>
      <c r="D18" s="4" t="s">
        <v>23</v>
      </c>
      <c r="E18" s="5">
        <v>120000</v>
      </c>
      <c r="F18" s="6">
        <v>45386</v>
      </c>
      <c r="G18" s="4">
        <v>12</v>
      </c>
      <c r="H18" s="4">
        <v>20</v>
      </c>
    </row>
    <row r="19" spans="1:8">
      <c r="A19" s="4" t="s">
        <v>60</v>
      </c>
      <c r="B19" s="4" t="s">
        <v>61</v>
      </c>
      <c r="C19" s="4" t="s">
        <v>40</v>
      </c>
      <c r="D19" s="4" t="s">
        <v>62</v>
      </c>
      <c r="E19" s="5">
        <v>70000</v>
      </c>
      <c r="F19" s="6">
        <v>45354</v>
      </c>
      <c r="G19" s="4">
        <v>12</v>
      </c>
      <c r="H19" s="4">
        <v>10</v>
      </c>
    </row>
    <row r="20" spans="1:8">
      <c r="A20" s="4" t="s">
        <v>63</v>
      </c>
      <c r="B20" s="4" t="s">
        <v>64</v>
      </c>
      <c r="C20" s="4" t="s">
        <v>26</v>
      </c>
      <c r="D20" s="4" t="s">
        <v>23</v>
      </c>
      <c r="E20" s="5">
        <v>170000</v>
      </c>
      <c r="F20" s="6">
        <v>45324</v>
      </c>
      <c r="G20" s="4">
        <v>12</v>
      </c>
      <c r="H20" s="4">
        <v>9</v>
      </c>
    </row>
    <row r="21" spans="1:8">
      <c r="A21" s="4" t="s">
        <v>65</v>
      </c>
      <c r="B21" s="4" t="s">
        <v>66</v>
      </c>
      <c r="C21" s="4" t="s">
        <v>26</v>
      </c>
      <c r="D21" s="4" t="s">
        <v>67</v>
      </c>
      <c r="E21" s="5">
        <v>64000</v>
      </c>
      <c r="F21" s="6">
        <v>45654</v>
      </c>
      <c r="G21" s="4">
        <v>12</v>
      </c>
      <c r="H21" s="4">
        <v>8</v>
      </c>
    </row>
    <row r="22" spans="1:8">
      <c r="A22" s="4" t="s">
        <v>68</v>
      </c>
      <c r="B22" s="4" t="s">
        <v>69</v>
      </c>
      <c r="C22" s="4" t="s">
        <v>26</v>
      </c>
      <c r="D22" s="4" t="s">
        <v>67</v>
      </c>
      <c r="E22" s="5">
        <v>250000</v>
      </c>
      <c r="F22" s="6">
        <v>45626</v>
      </c>
      <c r="G22" s="4">
        <v>12</v>
      </c>
      <c r="H22" s="4">
        <v>15</v>
      </c>
    </row>
    <row r="23" spans="1:8">
      <c r="A23" s="4" t="s">
        <v>70</v>
      </c>
      <c r="B23" s="4" t="s">
        <v>71</v>
      </c>
      <c r="C23" s="4" t="s">
        <v>223</v>
      </c>
      <c r="D23" s="4" t="s">
        <v>27</v>
      </c>
      <c r="E23" s="5">
        <v>30000</v>
      </c>
      <c r="F23" s="6">
        <v>45596</v>
      </c>
      <c r="G23" s="4">
        <v>24</v>
      </c>
      <c r="H23" s="4">
        <v>20</v>
      </c>
    </row>
    <row r="24" spans="1:8">
      <c r="A24" s="4" t="s">
        <v>72</v>
      </c>
      <c r="B24" s="4" t="s">
        <v>73</v>
      </c>
      <c r="C24" s="4" t="s">
        <v>74</v>
      </c>
      <c r="D24" s="4" t="s">
        <v>27</v>
      </c>
      <c r="E24" s="5">
        <v>50000</v>
      </c>
      <c r="F24" s="6">
        <v>45565</v>
      </c>
      <c r="G24" s="4">
        <v>12</v>
      </c>
      <c r="H24" s="4">
        <v>18</v>
      </c>
    </row>
    <row r="25" spans="1:8">
      <c r="A25" s="4" t="s">
        <v>75</v>
      </c>
      <c r="B25" s="4" t="s">
        <v>76</v>
      </c>
      <c r="C25" s="4" t="s">
        <v>32</v>
      </c>
      <c r="D25" s="4" t="s">
        <v>37</v>
      </c>
      <c r="E25" s="5">
        <v>35000</v>
      </c>
      <c r="F25" s="6">
        <v>45535</v>
      </c>
      <c r="G25" s="4">
        <v>12</v>
      </c>
      <c r="H25" s="4">
        <v>16</v>
      </c>
    </row>
    <row r="26" spans="1:8">
      <c r="A26" s="4" t="s">
        <v>77</v>
      </c>
      <c r="B26" s="4" t="s">
        <v>78</v>
      </c>
      <c r="C26" s="4" t="s">
        <v>32</v>
      </c>
      <c r="D26" s="4" t="s">
        <v>79</v>
      </c>
      <c r="E26" s="5">
        <v>43000</v>
      </c>
      <c r="F26" s="6">
        <v>45504</v>
      </c>
      <c r="G26" s="4">
        <v>18</v>
      </c>
      <c r="H26" s="4">
        <v>21</v>
      </c>
    </row>
    <row r="27" spans="1:8">
      <c r="A27" s="4" t="s">
        <v>80</v>
      </c>
      <c r="B27" s="4" t="s">
        <v>81</v>
      </c>
      <c r="C27" s="4" t="s">
        <v>18</v>
      </c>
      <c r="D27" s="4" t="s">
        <v>67</v>
      </c>
      <c r="E27" s="5">
        <v>55000</v>
      </c>
      <c r="F27" s="6">
        <v>45473</v>
      </c>
      <c r="G27" s="4">
        <v>18</v>
      </c>
      <c r="H27" s="4">
        <v>18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14"/>
  <sheetViews>
    <sheetView workbookViewId="0"/>
  </sheetViews>
  <sheetFormatPr defaultRowHeight="16.5"/>
  <cols>
    <col min="1" max="1" width="9.375" customWidth="1"/>
    <col min="2" max="2" width="12" customWidth="1"/>
    <col min="3" max="3" width="8.125" bestFit="1" customWidth="1"/>
    <col min="4" max="4" width="7.125" bestFit="1" customWidth="1"/>
    <col min="5" max="5" width="11.625" bestFit="1" customWidth="1"/>
    <col min="6" max="6" width="9.75" customWidth="1"/>
    <col min="7" max="7" width="12.625" bestFit="1" customWidth="1"/>
  </cols>
  <sheetData>
    <row r="1" spans="1:7" ht="20.25">
      <c r="A1" s="41" t="s">
        <v>202</v>
      </c>
      <c r="B1" s="41"/>
      <c r="C1" s="41"/>
      <c r="D1" s="41"/>
      <c r="E1" s="41"/>
      <c r="F1" s="41"/>
      <c r="G1" s="41"/>
    </row>
    <row r="3" spans="1:7">
      <c r="A3" s="1" t="s">
        <v>201</v>
      </c>
      <c r="B3" s="1" t="s">
        <v>83</v>
      </c>
      <c r="C3" s="1" t="s">
        <v>84</v>
      </c>
      <c r="D3" s="1" t="s">
        <v>85</v>
      </c>
      <c r="E3" s="1" t="s">
        <v>86</v>
      </c>
      <c r="F3" s="1" t="s">
        <v>87</v>
      </c>
      <c r="G3" s="1" t="s">
        <v>88</v>
      </c>
    </row>
    <row r="4" spans="1:7">
      <c r="A4" s="1" t="s">
        <v>211</v>
      </c>
      <c r="B4" s="1" t="s">
        <v>203</v>
      </c>
      <c r="C4" s="8">
        <v>34000</v>
      </c>
      <c r="D4" s="8">
        <v>960</v>
      </c>
      <c r="E4" s="8">
        <f>C4*D4</f>
        <v>32640000</v>
      </c>
      <c r="F4" s="1" t="s">
        <v>89</v>
      </c>
      <c r="G4" s="9">
        <f>E4-(E4*HLOOKUP(F4,$B$13:$C$14,2,FALSE))</f>
        <v>29376000</v>
      </c>
    </row>
    <row r="5" spans="1:7">
      <c r="A5" s="1" t="s">
        <v>210</v>
      </c>
      <c r="B5" s="1" t="s">
        <v>204</v>
      </c>
      <c r="C5" s="8">
        <v>20000</v>
      </c>
      <c r="D5" s="8">
        <v>1380</v>
      </c>
      <c r="E5" s="8">
        <f t="shared" ref="E5:E9" si="0">C5*D5</f>
        <v>27600000</v>
      </c>
      <c r="F5" s="1" t="s">
        <v>215</v>
      </c>
      <c r="G5" s="9">
        <f t="shared" ref="G5:G9" si="1">E5-(E5*HLOOKUP(F5,$B$13:$C$14,2,FALSE))</f>
        <v>23460000</v>
      </c>
    </row>
    <row r="6" spans="1:7">
      <c r="A6" s="1" t="s">
        <v>212</v>
      </c>
      <c r="B6" s="1" t="s">
        <v>205</v>
      </c>
      <c r="C6" s="8">
        <v>40000</v>
      </c>
      <c r="D6" s="8">
        <v>1130</v>
      </c>
      <c r="E6" s="8">
        <f t="shared" si="0"/>
        <v>45200000</v>
      </c>
      <c r="F6" s="1" t="s">
        <v>215</v>
      </c>
      <c r="G6" s="9">
        <f t="shared" si="1"/>
        <v>38420000</v>
      </c>
    </row>
    <row r="7" spans="1:7">
      <c r="A7" s="1" t="s">
        <v>209</v>
      </c>
      <c r="B7" s="1" t="s">
        <v>206</v>
      </c>
      <c r="C7" s="8">
        <v>35000</v>
      </c>
      <c r="D7" s="8">
        <v>950</v>
      </c>
      <c r="E7" s="8">
        <f t="shared" si="0"/>
        <v>33250000</v>
      </c>
      <c r="F7" s="1" t="s">
        <v>89</v>
      </c>
      <c r="G7" s="9">
        <f t="shared" si="1"/>
        <v>29925000</v>
      </c>
    </row>
    <row r="8" spans="1:7">
      <c r="A8" s="1" t="s">
        <v>213</v>
      </c>
      <c r="B8" s="1" t="s">
        <v>207</v>
      </c>
      <c r="C8" s="8">
        <v>36000</v>
      </c>
      <c r="D8" s="8">
        <v>1190</v>
      </c>
      <c r="E8" s="8">
        <f t="shared" si="0"/>
        <v>42840000</v>
      </c>
      <c r="F8" s="1" t="s">
        <v>89</v>
      </c>
      <c r="G8" s="9">
        <f t="shared" si="1"/>
        <v>38556000</v>
      </c>
    </row>
    <row r="9" spans="1:7">
      <c r="A9" s="1" t="s">
        <v>214</v>
      </c>
      <c r="B9" s="1" t="s">
        <v>208</v>
      </c>
      <c r="C9" s="8">
        <v>18000</v>
      </c>
      <c r="D9" s="8">
        <v>1460</v>
      </c>
      <c r="E9" s="8">
        <f t="shared" si="0"/>
        <v>26280000</v>
      </c>
      <c r="F9" s="1" t="s">
        <v>215</v>
      </c>
      <c r="G9" s="9">
        <f t="shared" si="1"/>
        <v>22338000</v>
      </c>
    </row>
    <row r="10" spans="1:7">
      <c r="A10" s="42" t="s">
        <v>90</v>
      </c>
      <c r="B10" s="42"/>
      <c r="C10" s="42"/>
      <c r="D10" s="42"/>
      <c r="E10" s="42"/>
      <c r="F10" s="42"/>
      <c r="G10" s="9">
        <f>SUM(G4:G9)</f>
        <v>182075000</v>
      </c>
    </row>
    <row r="11" spans="1:7">
      <c r="A11" s="20"/>
      <c r="B11" s="20"/>
      <c r="C11" s="20"/>
      <c r="D11" s="20"/>
      <c r="E11" s="20"/>
      <c r="F11" s="20"/>
      <c r="G11" s="21"/>
    </row>
    <row r="13" spans="1:7">
      <c r="A13" s="1" t="s">
        <v>87</v>
      </c>
      <c r="B13" s="1" t="s">
        <v>89</v>
      </c>
      <c r="C13" s="1" t="s">
        <v>215</v>
      </c>
    </row>
    <row r="14" spans="1:7">
      <c r="A14" s="1" t="s">
        <v>91</v>
      </c>
      <c r="B14" s="10">
        <v>0.1</v>
      </c>
      <c r="C14" s="10">
        <v>0.15</v>
      </c>
    </row>
  </sheetData>
  <mergeCells count="2">
    <mergeCell ref="A1:G1"/>
    <mergeCell ref="A10:F10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I14"/>
  <sheetViews>
    <sheetView workbookViewId="0"/>
  </sheetViews>
  <sheetFormatPr defaultRowHeight="16.5"/>
  <cols>
    <col min="1" max="1" width="9.75" customWidth="1"/>
    <col min="2" max="2" width="9.375" customWidth="1"/>
    <col min="3" max="3" width="9.875" customWidth="1"/>
    <col min="4" max="4" width="10.625" customWidth="1"/>
    <col min="5" max="5" width="9.875" customWidth="1"/>
    <col min="6" max="6" width="10.375" bestFit="1" customWidth="1"/>
    <col min="9" max="9" width="12.375" customWidth="1"/>
  </cols>
  <sheetData>
    <row r="2" spans="1:9">
      <c r="A2" s="1" t="s">
        <v>173</v>
      </c>
      <c r="B2" s="1" t="s">
        <v>172</v>
      </c>
      <c r="C2" s="1" t="s">
        <v>171</v>
      </c>
      <c r="D2" s="1" t="s">
        <v>170</v>
      </c>
      <c r="E2" s="1" t="s">
        <v>169</v>
      </c>
      <c r="F2" s="1" t="s">
        <v>168</v>
      </c>
      <c r="G2" s="1" t="s">
        <v>167</v>
      </c>
      <c r="H2" s="1" t="s">
        <v>166</v>
      </c>
      <c r="I2" s="13" t="s">
        <v>174</v>
      </c>
    </row>
    <row r="3" spans="1:9">
      <c r="A3" s="1" t="s">
        <v>165</v>
      </c>
      <c r="B3" s="1" t="s">
        <v>143</v>
      </c>
      <c r="C3" s="1" t="s">
        <v>140</v>
      </c>
      <c r="D3" s="17">
        <v>2300000</v>
      </c>
      <c r="E3" s="17">
        <v>228000</v>
      </c>
      <c r="F3" s="18">
        <v>2</v>
      </c>
      <c r="G3" s="17">
        <v>90000</v>
      </c>
      <c r="H3" s="17">
        <v>100000</v>
      </c>
      <c r="I3" s="12"/>
    </row>
    <row r="4" spans="1:9">
      <c r="A4" s="1" t="s">
        <v>164</v>
      </c>
      <c r="B4" s="1" t="s">
        <v>141</v>
      </c>
      <c r="C4" s="1" t="s">
        <v>163</v>
      </c>
      <c r="D4" s="17">
        <v>3300000</v>
      </c>
      <c r="E4" s="17">
        <v>460000</v>
      </c>
      <c r="F4" s="18">
        <v>3</v>
      </c>
      <c r="G4" s="17">
        <v>120000</v>
      </c>
      <c r="H4" s="17">
        <v>120000</v>
      </c>
      <c r="I4" s="12"/>
    </row>
    <row r="5" spans="1:9">
      <c r="A5" s="1" t="s">
        <v>162</v>
      </c>
      <c r="B5" s="1" t="s">
        <v>161</v>
      </c>
      <c r="C5" s="1" t="s">
        <v>146</v>
      </c>
      <c r="D5" s="17">
        <v>3700000</v>
      </c>
      <c r="E5" s="17">
        <v>280000</v>
      </c>
      <c r="F5" s="18" t="s">
        <v>145</v>
      </c>
      <c r="G5" s="17">
        <v>90000</v>
      </c>
      <c r="H5" s="17">
        <v>60000</v>
      </c>
      <c r="I5" s="12"/>
    </row>
    <row r="6" spans="1:9">
      <c r="A6" s="1" t="s">
        <v>160</v>
      </c>
      <c r="B6" s="1" t="s">
        <v>147</v>
      </c>
      <c r="C6" s="1" t="s">
        <v>144</v>
      </c>
      <c r="D6" s="17">
        <v>2300000</v>
      </c>
      <c r="E6" s="17">
        <v>240000</v>
      </c>
      <c r="F6" s="18">
        <v>4</v>
      </c>
      <c r="G6" s="17">
        <v>150000</v>
      </c>
      <c r="H6" s="17">
        <v>60000</v>
      </c>
      <c r="I6" s="12"/>
    </row>
    <row r="7" spans="1:9">
      <c r="A7" s="1" t="s">
        <v>159</v>
      </c>
      <c r="B7" s="1" t="s">
        <v>141</v>
      </c>
      <c r="C7" s="1" t="s">
        <v>158</v>
      </c>
      <c r="D7" s="17">
        <v>2900000</v>
      </c>
      <c r="E7" s="17">
        <v>280000</v>
      </c>
      <c r="F7" s="18">
        <v>2</v>
      </c>
      <c r="G7" s="17">
        <v>60000</v>
      </c>
      <c r="H7" s="17">
        <v>130000</v>
      </c>
      <c r="I7" s="12"/>
    </row>
    <row r="8" spans="1:9">
      <c r="A8" s="1" t="s">
        <v>157</v>
      </c>
      <c r="B8" s="1" t="s">
        <v>156</v>
      </c>
      <c r="C8" s="1" t="s">
        <v>142</v>
      </c>
      <c r="D8" s="17">
        <v>3600000</v>
      </c>
      <c r="E8" s="17">
        <v>200000</v>
      </c>
      <c r="F8" s="18" t="s">
        <v>148</v>
      </c>
      <c r="G8" s="17">
        <v>140000</v>
      </c>
      <c r="H8" s="17">
        <v>50000</v>
      </c>
      <c r="I8" s="12"/>
    </row>
    <row r="9" spans="1:9">
      <c r="A9" s="1" t="s">
        <v>155</v>
      </c>
      <c r="B9" s="1" t="s">
        <v>143</v>
      </c>
      <c r="C9" s="1" t="s">
        <v>146</v>
      </c>
      <c r="D9" s="17">
        <v>2200000</v>
      </c>
      <c r="E9" s="17">
        <v>446000</v>
      </c>
      <c r="F9" s="18">
        <v>5</v>
      </c>
      <c r="G9" s="17">
        <v>100000</v>
      </c>
      <c r="H9" s="17">
        <v>50000</v>
      </c>
      <c r="I9" s="12"/>
    </row>
    <row r="10" spans="1:9">
      <c r="A10" s="1" t="s">
        <v>154</v>
      </c>
      <c r="B10" s="1" t="s">
        <v>147</v>
      </c>
      <c r="C10" s="1" t="s">
        <v>140</v>
      </c>
      <c r="D10" s="17">
        <v>3600000</v>
      </c>
      <c r="E10" s="17">
        <v>228000</v>
      </c>
      <c r="F10" s="18">
        <v>2</v>
      </c>
      <c r="G10" s="17">
        <v>150000</v>
      </c>
      <c r="H10" s="17">
        <v>80000</v>
      </c>
      <c r="I10" s="12"/>
    </row>
    <row r="11" spans="1:9">
      <c r="A11" s="1" t="s">
        <v>153</v>
      </c>
      <c r="B11" s="1" t="s">
        <v>143</v>
      </c>
      <c r="C11" s="1" t="s">
        <v>140</v>
      </c>
      <c r="D11" s="17">
        <v>2900000</v>
      </c>
      <c r="E11" s="17">
        <v>260000</v>
      </c>
      <c r="F11" s="18">
        <v>6</v>
      </c>
      <c r="G11" s="17">
        <v>90000</v>
      </c>
      <c r="H11" s="17">
        <v>70000</v>
      </c>
      <c r="I11" s="12"/>
    </row>
    <row r="12" spans="1:9">
      <c r="A12" s="1" t="s">
        <v>152</v>
      </c>
      <c r="B12" s="1" t="s">
        <v>147</v>
      </c>
      <c r="C12" s="1" t="s">
        <v>142</v>
      </c>
      <c r="D12" s="17">
        <v>1600000</v>
      </c>
      <c r="E12" s="17">
        <v>246000</v>
      </c>
      <c r="F12" s="18" t="s">
        <v>151</v>
      </c>
      <c r="G12" s="17">
        <v>150000</v>
      </c>
      <c r="H12" s="17">
        <v>90000</v>
      </c>
      <c r="I12" s="12"/>
    </row>
    <row r="13" spans="1:9">
      <c r="A13" s="1" t="s">
        <v>150</v>
      </c>
      <c r="B13" s="1" t="s">
        <v>143</v>
      </c>
      <c r="C13" s="1" t="s">
        <v>142</v>
      </c>
      <c r="D13" s="17">
        <v>2000000</v>
      </c>
      <c r="E13" s="17">
        <v>228000</v>
      </c>
      <c r="F13" s="18">
        <v>5</v>
      </c>
      <c r="G13" s="17">
        <v>70000</v>
      </c>
      <c r="H13" s="17">
        <v>50000</v>
      </c>
      <c r="I13" s="12"/>
    </row>
    <row r="14" spans="1:9">
      <c r="A14" s="1" t="s">
        <v>149</v>
      </c>
      <c r="B14" s="1" t="s">
        <v>147</v>
      </c>
      <c r="C14" s="1" t="s">
        <v>142</v>
      </c>
      <c r="D14" s="17">
        <v>1700000</v>
      </c>
      <c r="E14" s="17">
        <v>440000</v>
      </c>
      <c r="F14" s="18">
        <v>3</v>
      </c>
      <c r="G14" s="17">
        <v>90000</v>
      </c>
      <c r="H14" s="17">
        <v>130000</v>
      </c>
      <c r="I14" s="12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2:E6"/>
  <sheetViews>
    <sheetView workbookViewId="0"/>
  </sheetViews>
  <sheetFormatPr defaultRowHeight="16.5"/>
  <sheetData>
    <row r="2" spans="2:5">
      <c r="B2" s="1" t="s">
        <v>0</v>
      </c>
      <c r="C2" s="1" t="s">
        <v>1</v>
      </c>
      <c r="D2" s="1" t="s">
        <v>2</v>
      </c>
      <c r="E2" s="1" t="s">
        <v>3</v>
      </c>
    </row>
    <row r="3" spans="2:5">
      <c r="B3" s="1" t="s">
        <v>4</v>
      </c>
      <c r="C3" s="1">
        <v>1390000</v>
      </c>
      <c r="D3" s="1">
        <v>420000</v>
      </c>
      <c r="E3" s="1">
        <v>570000</v>
      </c>
    </row>
    <row r="4" spans="2:5">
      <c r="B4" s="1" t="s">
        <v>5</v>
      </c>
      <c r="C4" s="1">
        <v>2500000</v>
      </c>
      <c r="D4" s="1">
        <v>890000</v>
      </c>
      <c r="E4" s="1">
        <v>740000</v>
      </c>
    </row>
    <row r="5" spans="2:5">
      <c r="B5" s="1" t="s">
        <v>6</v>
      </c>
      <c r="C5" s="1">
        <v>1650000</v>
      </c>
      <c r="D5" s="1">
        <v>560000</v>
      </c>
      <c r="E5" s="1">
        <v>520000</v>
      </c>
    </row>
    <row r="6" spans="2:5">
      <c r="B6" s="1" t="s">
        <v>7</v>
      </c>
      <c r="C6" s="1">
        <v>1390000</v>
      </c>
      <c r="D6" s="1">
        <v>390000</v>
      </c>
      <c r="E6" s="1">
        <v>410000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2021-09-01T10:05:05Z</dcterms:created>
  <dcterms:modified xsi:type="dcterms:W3CDTF">2023-09-07T07:27:09Z</dcterms:modified>
</cp:coreProperties>
</file>