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정답\"/>
    </mc:Choice>
  </mc:AlternateContent>
  <xr:revisionPtr revIDLastSave="0" documentId="13_ncr:1_{E63571B0-8927-4FD8-85EB-1469345509D5}" xr6:coauthVersionLast="47" xr6:coauthVersionMax="47" xr10:uidLastSave="{00000000-0000-0000-0000-000000000000}"/>
  <bookViews>
    <workbookView xWindow="8460" yWindow="2700" windowWidth="22710" windowHeight="15615" tabRatio="896" activeTab="3" xr2:uid="{00000000-000D-0000-FFFF-FFFF00000000}"/>
  </bookViews>
  <sheets>
    <sheet name="기본작업-1" sheetId="1" r:id="rId1"/>
    <sheet name="기본작업-2" sheetId="2" r:id="rId2"/>
    <sheet name="기본작업-3" sheetId="9" r:id="rId3"/>
    <sheet name="계산작업" sheetId="11" r:id="rId4"/>
    <sheet name="시나리오 요약" sheetId="10" r:id="rId5"/>
    <sheet name="분석작업-1" sheetId="5" r:id="rId6"/>
    <sheet name="분석작업-2" sheetId="4" r:id="rId7"/>
    <sheet name="매크로작업" sheetId="6" r:id="rId8"/>
    <sheet name="차트작업" sheetId="7" r:id="rId9"/>
  </sheets>
  <definedNames>
    <definedName name="_xlnm._FilterDatabase" localSheetId="2" hidden="1">'기본작업-3'!$A$3:$E$16</definedName>
    <definedName name="_xlnm.Criteria" localSheetId="2">'기본작업-3'!$A$18:$A$19</definedName>
    <definedName name="_xlnm.Extract" localSheetId="2">'기본작업-3'!$A$22:$E$22</definedName>
    <definedName name="순이익율">'분석작업-1'!$I$4</definedName>
    <definedName name="순이익합계">'분석작업-1'!$G$24</definedName>
    <definedName name="채용결과발표" localSheetId="2">'기본작업-3'!$A$1:$E$16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1" l="1" a="1"/>
  <c r="I4" i="11"/>
  <c r="I5" i="11" a="1"/>
  <c r="I5" i="11"/>
  <c r="I6" i="11" a="1"/>
  <c r="I6" i="11"/>
  <c r="I7" i="11" a="1"/>
  <c r="I7" i="11"/>
  <c r="I8" i="11" a="1"/>
  <c r="I8" i="11" s="1"/>
  <c r="I9" i="11" a="1"/>
  <c r="I9" i="11" s="1"/>
  <c r="I10" i="11" a="1"/>
  <c r="I10" i="11" s="1"/>
  <c r="I11" i="11" a="1"/>
  <c r="I11" i="11"/>
  <c r="I3" i="11" a="1"/>
  <c r="I3" i="11" s="1"/>
  <c r="A19" i="9"/>
  <c r="D5" i="9"/>
  <c r="D6" i="9"/>
  <c r="D7" i="9"/>
  <c r="D8" i="9"/>
  <c r="D9" i="9"/>
  <c r="D10" i="9"/>
  <c r="D11" i="9"/>
  <c r="D12" i="9"/>
  <c r="D13" i="9"/>
  <c r="D14" i="9"/>
  <c r="D15" i="9"/>
  <c r="D16" i="9"/>
  <c r="D4" i="9"/>
  <c r="H4" i="11" l="1"/>
  <c r="H5" i="11"/>
  <c r="H6" i="11"/>
  <c r="H7" i="11"/>
  <c r="H8" i="11"/>
  <c r="H9" i="11"/>
  <c r="H10" i="11"/>
  <c r="H11" i="11"/>
  <c r="H3" i="11"/>
  <c r="G3" i="11" l="1"/>
  <c r="G4" i="11"/>
  <c r="G5" i="11"/>
  <c r="G6" i="11"/>
  <c r="G7" i="11"/>
  <c r="G8" i="11"/>
  <c r="G9" i="11"/>
  <c r="G10" i="11"/>
  <c r="G11" i="11"/>
  <c r="F4" i="11"/>
  <c r="F5" i="11"/>
  <c r="F6" i="11"/>
  <c r="F7" i="11"/>
  <c r="F8" i="11"/>
  <c r="F9" i="11"/>
  <c r="F10" i="11"/>
  <c r="F11" i="11"/>
  <c r="F3" i="11"/>
  <c r="D21" i="11"/>
  <c r="D20" i="11"/>
  <c r="D19" i="11"/>
  <c r="D18" i="11"/>
  <c r="D17" i="11"/>
  <c r="D16" i="11"/>
  <c r="D15" i="11"/>
  <c r="E5" i="6" l="1"/>
  <c r="E6" i="6"/>
  <c r="E7" i="6"/>
  <c r="E8" i="6"/>
  <c r="E9" i="6"/>
  <c r="E10" i="6"/>
  <c r="E11" i="6"/>
  <c r="E12" i="6"/>
  <c r="E13" i="6"/>
  <c r="E4" i="6"/>
  <c r="E26" i="4"/>
  <c r="E24" i="4"/>
  <c r="E16" i="4"/>
  <c r="E9" i="4"/>
  <c r="D25" i="4"/>
  <c r="C25" i="4"/>
  <c r="D17" i="4"/>
  <c r="D27" i="4" s="1"/>
  <c r="C17" i="4"/>
  <c r="C27" i="4" s="1"/>
  <c r="D10" i="4"/>
  <c r="C10" i="4"/>
  <c r="F9" i="7" l="1"/>
  <c r="F8" i="7"/>
  <c r="F7" i="7"/>
  <c r="F6" i="7"/>
  <c r="F5" i="7"/>
  <c r="F4" i="7"/>
  <c r="D24" i="5" l="1"/>
  <c r="E24" i="5"/>
  <c r="C24" i="5"/>
  <c r="F23" i="5"/>
  <c r="G23" i="5" s="1"/>
  <c r="F22" i="5"/>
  <c r="G22" i="5" s="1"/>
  <c r="F21" i="5"/>
  <c r="G21" i="5" s="1"/>
  <c r="F20" i="5"/>
  <c r="G20" i="5" s="1"/>
  <c r="F19" i="5" l="1"/>
  <c r="G19" i="5" s="1"/>
  <c r="F18" i="5"/>
  <c r="G18" i="5" s="1"/>
  <c r="F17" i="5"/>
  <c r="G17" i="5" s="1"/>
  <c r="F16" i="5"/>
  <c r="G16" i="5" s="1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F9" i="5"/>
  <c r="G9" i="5" s="1"/>
  <c r="F8" i="5"/>
  <c r="G8" i="5" s="1"/>
  <c r="F7" i="5"/>
  <c r="F6" i="5"/>
  <c r="G6" i="5" s="1"/>
  <c r="F5" i="5"/>
  <c r="G5" i="5" s="1"/>
  <c r="F4" i="5"/>
  <c r="G4" i="5" s="1"/>
  <c r="F24" i="5" l="1"/>
  <c r="G7" i="5"/>
  <c r="G2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G14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최고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포인트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채용결과발표" type="6" refreshedVersion="6" background="1" saveData="1">
    <textPr codePage="65001" sourceFile="E:\영진(2022년)\2급\기출문제2회\채용결과발표.txt" tab="0" comma="1">
      <textFields count="6"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<sst xmlns="http://schemas.openxmlformats.org/spreadsheetml/2006/main" count="313" uniqueCount="235">
  <si>
    <t>구매실적</t>
    <phoneticPr fontId="1" type="noConversion"/>
  </si>
  <si>
    <t>설문</t>
    <phoneticPr fontId="1" type="noConversion"/>
  </si>
  <si>
    <t>합계</t>
    <phoneticPr fontId="1" type="noConversion"/>
  </si>
  <si>
    <t>성명</t>
    <phoneticPr fontId="1" type="noConversion"/>
  </si>
  <si>
    <t>나이</t>
    <phoneticPr fontId="1" type="noConversion"/>
  </si>
  <si>
    <t>주민등록번호</t>
    <phoneticPr fontId="1" type="noConversion"/>
  </si>
  <si>
    <t>여</t>
    <phoneticPr fontId="1" type="noConversion"/>
  </si>
  <si>
    <t>남</t>
    <phoneticPr fontId="1" type="noConversion"/>
  </si>
  <si>
    <t>851211-2******</t>
    <phoneticPr fontId="1" type="noConversion"/>
  </si>
  <si>
    <t>900421-1******</t>
    <phoneticPr fontId="1" type="noConversion"/>
  </si>
  <si>
    <t>870630-1******</t>
    <phoneticPr fontId="1" type="noConversion"/>
  </si>
  <si>
    <t>940114-2******</t>
    <phoneticPr fontId="1" type="noConversion"/>
  </si>
  <si>
    <t>910829-1******</t>
    <phoneticPr fontId="1" type="noConversion"/>
  </si>
  <si>
    <t>환자 진료현황</t>
    <phoneticPr fontId="1" type="noConversion"/>
  </si>
  <si>
    <t>환자코드</t>
    <phoneticPr fontId="1" type="noConversion"/>
  </si>
  <si>
    <t>성별</t>
    <phoneticPr fontId="1" type="noConversion"/>
  </si>
  <si>
    <t>담당의사</t>
    <phoneticPr fontId="1" type="noConversion"/>
  </si>
  <si>
    <t>진료과목</t>
    <phoneticPr fontId="1" type="noConversion"/>
  </si>
  <si>
    <t>신진성</t>
    <phoneticPr fontId="1" type="noConversion"/>
  </si>
  <si>
    <t>&lt;진료과목표&gt;</t>
    <phoneticPr fontId="1" type="noConversion"/>
  </si>
  <si>
    <t>진료코드</t>
    <phoneticPr fontId="1" type="noConversion"/>
  </si>
  <si>
    <t>거래일자</t>
    <phoneticPr fontId="1" type="noConversion"/>
  </si>
  <si>
    <t>할인액</t>
    <phoneticPr fontId="1" type="noConversion"/>
  </si>
  <si>
    <t>(단위 : 만원)</t>
    <phoneticPr fontId="1" type="noConversion"/>
  </si>
  <si>
    <t>지점명</t>
  </si>
  <si>
    <t>제품명</t>
  </si>
  <si>
    <t>입고량</t>
  </si>
  <si>
    <t>판매량</t>
  </si>
  <si>
    <t>판매가</t>
  </si>
  <si>
    <t>총판매액</t>
  </si>
  <si>
    <t>순이익</t>
    <phoneticPr fontId="1" type="noConversion"/>
  </si>
  <si>
    <t>순이익율</t>
    <phoneticPr fontId="1" type="noConversion"/>
  </si>
  <si>
    <t>냉장고</t>
  </si>
  <si>
    <t>세탁기</t>
  </si>
  <si>
    <t>TV</t>
  </si>
  <si>
    <t>도서명</t>
    <phoneticPr fontId="1" type="noConversion"/>
  </si>
  <si>
    <t>회원등급</t>
    <phoneticPr fontId="1" type="noConversion"/>
  </si>
  <si>
    <t>MVG</t>
    <phoneticPr fontId="1" type="noConversion"/>
  </si>
  <si>
    <t>VIP</t>
    <phoneticPr fontId="1" type="noConversion"/>
  </si>
  <si>
    <t>일반</t>
    <phoneticPr fontId="1" type="noConversion"/>
  </si>
  <si>
    <t>골드</t>
    <phoneticPr fontId="1" type="noConversion"/>
  </si>
  <si>
    <t>6월20일</t>
  </si>
  <si>
    <t>6월7일</t>
  </si>
  <si>
    <t>7월15일</t>
  </si>
  <si>
    <t>7월21일</t>
  </si>
  <si>
    <t>7월30일</t>
  </si>
  <si>
    <t>8월4일</t>
  </si>
  <si>
    <t>8월27일</t>
  </si>
  <si>
    <t>8월10일</t>
  </si>
  <si>
    <t>10월6일</t>
  </si>
  <si>
    <t>백광재</t>
    <phoneticPr fontId="1" type="noConversion"/>
  </si>
  <si>
    <t>신동현</t>
    <phoneticPr fontId="1" type="noConversion"/>
  </si>
  <si>
    <t>전윤재</t>
    <phoneticPr fontId="1" type="noConversion"/>
  </si>
  <si>
    <t>평가결과</t>
    <phoneticPr fontId="1" type="noConversion"/>
  </si>
  <si>
    <t>이비인후과</t>
    <phoneticPr fontId="1" type="noConversion"/>
  </si>
  <si>
    <t>EN</t>
    <phoneticPr fontId="1" type="noConversion"/>
  </si>
  <si>
    <t>EN6574</t>
  </si>
  <si>
    <t>EN4156</t>
  </si>
  <si>
    <t>EN4500</t>
  </si>
  <si>
    <t>CH</t>
    <phoneticPr fontId="1" type="noConversion"/>
  </si>
  <si>
    <t>CH9842</t>
  </si>
  <si>
    <t>CH2897</t>
  </si>
  <si>
    <t>피부과</t>
    <phoneticPr fontId="1" type="noConversion"/>
  </si>
  <si>
    <t>DE</t>
    <phoneticPr fontId="1" type="noConversion"/>
  </si>
  <si>
    <t>DE1703</t>
  </si>
  <si>
    <t>유명상</t>
    <phoneticPr fontId="1" type="noConversion"/>
  </si>
  <si>
    <t>선동일</t>
    <phoneticPr fontId="1" type="noConversion"/>
  </si>
  <si>
    <t>박시내</t>
    <phoneticPr fontId="1" type="noConversion"/>
  </si>
  <si>
    <t>소아청소년과</t>
    <phoneticPr fontId="1" type="noConversion"/>
  </si>
  <si>
    <t>서병규</t>
    <phoneticPr fontId="1" type="noConversion"/>
  </si>
  <si>
    <t>조빈</t>
    <phoneticPr fontId="1" type="noConversion"/>
  </si>
  <si>
    <t>CH3501</t>
    <phoneticPr fontId="1" type="noConversion"/>
  </si>
  <si>
    <t>이인구</t>
    <phoneticPr fontId="1" type="noConversion"/>
  </si>
  <si>
    <t>김경수</t>
    <phoneticPr fontId="1" type="noConversion"/>
  </si>
  <si>
    <t>최환석</t>
    <phoneticPr fontId="1" type="noConversion"/>
  </si>
  <si>
    <t>이재호</t>
    <phoneticPr fontId="1" type="noConversion"/>
  </si>
  <si>
    <t>김철민</t>
    <phoneticPr fontId="1" type="noConversion"/>
  </si>
  <si>
    <t>신현화</t>
    <phoneticPr fontId="1" type="noConversion"/>
  </si>
  <si>
    <t>최창진</t>
    <phoneticPr fontId="1" type="noConversion"/>
  </si>
  <si>
    <t>김승재</t>
    <phoneticPr fontId="1" type="noConversion"/>
  </si>
  <si>
    <t>임재형</t>
    <phoneticPr fontId="1" type="noConversion"/>
  </si>
  <si>
    <t>김채율</t>
    <phoneticPr fontId="1" type="noConversion"/>
  </si>
  <si>
    <t>931016-2******</t>
  </si>
  <si>
    <t>890933-1******</t>
  </si>
  <si>
    <t>920408-2******</t>
  </si>
  <si>
    <t>870725-1******</t>
  </si>
  <si>
    <t>미래상사</t>
  </si>
  <si>
    <t>우리상사</t>
  </si>
  <si>
    <t>영재상사</t>
  </si>
  <si>
    <t>미래상사</t>
    <phoneticPr fontId="1" type="noConversion"/>
  </si>
  <si>
    <t>우리상사</t>
    <phoneticPr fontId="1" type="noConversion"/>
  </si>
  <si>
    <t>실지급액</t>
    <phoneticPr fontId="1" type="noConversion"/>
  </si>
  <si>
    <t>거래업체명</t>
    <phoneticPr fontId="1" type="noConversion"/>
  </si>
  <si>
    <t>거래업체별 거래현황</t>
    <phoneticPr fontId="1" type="noConversion"/>
  </si>
  <si>
    <t>거래금액</t>
    <phoneticPr fontId="1" type="noConversion"/>
  </si>
  <si>
    <t>방배점</t>
    <phoneticPr fontId="1" type="noConversion"/>
  </si>
  <si>
    <t>가전제품 판매현황</t>
    <phoneticPr fontId="1" type="noConversion"/>
  </si>
  <si>
    <t>도곡점</t>
    <phoneticPr fontId="1" type="noConversion"/>
  </si>
  <si>
    <t>서초본점</t>
    <phoneticPr fontId="1" type="noConversion"/>
  </si>
  <si>
    <t>사당역점</t>
    <phoneticPr fontId="1" type="noConversion"/>
  </si>
  <si>
    <t>강남본점</t>
    <phoneticPr fontId="1" type="noConversion"/>
  </si>
  <si>
    <t>건조기</t>
  </si>
  <si>
    <t>질서 너머</t>
    <phoneticPr fontId="1" type="noConversion"/>
  </si>
  <si>
    <t>달러구트 꿈 백화점</t>
    <phoneticPr fontId="1" type="noConversion"/>
  </si>
  <si>
    <t>주린이가 가장 알고 싶은 최다질문 TOP77</t>
    <phoneticPr fontId="1" type="noConversion"/>
  </si>
  <si>
    <t>주택과 세금</t>
    <phoneticPr fontId="1" type="noConversion"/>
  </si>
  <si>
    <t>아몬드</t>
    <phoneticPr fontId="1" type="noConversion"/>
  </si>
  <si>
    <t>마지막 몰입</t>
    <phoneticPr fontId="1" type="noConversion"/>
  </si>
  <si>
    <t>공정하다는 착각</t>
    <phoneticPr fontId="1" type="noConversion"/>
  </si>
  <si>
    <t>강방천의 관점</t>
    <phoneticPr fontId="1" type="noConversion"/>
  </si>
  <si>
    <t>모래알만 한 진실이라도</t>
    <phoneticPr fontId="1" type="noConversion"/>
  </si>
  <si>
    <t>나의 첫 투자 수업</t>
    <phoneticPr fontId="1" type="noConversion"/>
  </si>
  <si>
    <t>평균</t>
    <phoneticPr fontId="1" type="noConversion"/>
  </si>
  <si>
    <t>3/4분기 도서판매현황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</si>
  <si>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</si>
  <si>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</si>
  <si>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</si>
  <si>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부서별 인사평가 결과</t>
    <phoneticPr fontId="1" type="noConversion"/>
  </si>
  <si>
    <t>부서명</t>
    <phoneticPr fontId="1" type="noConversion"/>
  </si>
  <si>
    <t>직무수행</t>
    <phoneticPr fontId="1" type="noConversion"/>
  </si>
  <si>
    <t>책임감</t>
    <phoneticPr fontId="1" type="noConversion"/>
  </si>
  <si>
    <t>이해력</t>
    <phoneticPr fontId="1" type="noConversion"/>
  </si>
  <si>
    <t>협동심</t>
    <phoneticPr fontId="1" type="noConversion"/>
  </si>
  <si>
    <t>총점</t>
    <phoneticPr fontId="1" type="noConversion"/>
  </si>
  <si>
    <t>생산부</t>
    <phoneticPr fontId="1" type="noConversion"/>
  </si>
  <si>
    <t>기획부</t>
    <phoneticPr fontId="1" type="noConversion"/>
  </si>
  <si>
    <t>인사부</t>
    <phoneticPr fontId="1" type="noConversion"/>
  </si>
  <si>
    <t>영업부</t>
    <phoneticPr fontId="1" type="noConversion"/>
  </si>
  <si>
    <t>홍보부</t>
    <phoneticPr fontId="1" type="noConversion"/>
  </si>
  <si>
    <t>자재부</t>
    <phoneticPr fontId="1" type="noConversion"/>
  </si>
  <si>
    <t>신입사원 채용 발표</t>
  </si>
  <si>
    <t>이름</t>
  </si>
  <si>
    <t>시험</t>
  </si>
  <si>
    <t>면접</t>
  </si>
  <si>
    <t>합계</t>
  </si>
  <si>
    <t>지원부서</t>
  </si>
  <si>
    <t>이향훈</t>
  </si>
  <si>
    <t>임우성</t>
  </si>
  <si>
    <t>마케팅부</t>
  </si>
  <si>
    <t>윤용주</t>
  </si>
  <si>
    <t>연대권</t>
  </si>
  <si>
    <t>송삼교</t>
  </si>
  <si>
    <t>영업부</t>
  </si>
  <si>
    <t>서진원</t>
  </si>
  <si>
    <t>민장식</t>
  </si>
  <si>
    <t>박선미</t>
  </si>
  <si>
    <t>조창규</t>
  </si>
  <si>
    <t>정인섭</t>
  </si>
  <si>
    <t>장인숙</t>
  </si>
  <si>
    <t>이지현</t>
  </si>
  <si>
    <t>윤필은</t>
  </si>
  <si>
    <t>순이익율</t>
  </si>
  <si>
    <t>순이익합계</t>
  </si>
  <si>
    <t>순이익증가</t>
  </si>
  <si>
    <t>순이익감소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</si>
  <si>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</si>
  <si>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</si>
  <si>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</si>
  <si>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</si>
  <si>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</si>
  <si>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</si>
  <si>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</si>
  <si>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우리상사 요약</t>
  </si>
  <si>
    <t>영재상사 요약</t>
  </si>
  <si>
    <t>미래상사 요약</t>
  </si>
  <si>
    <t>총합계</t>
  </si>
  <si>
    <t>우리상사 평균</t>
  </si>
  <si>
    <t>영재상사 평균</t>
  </si>
  <si>
    <t>미래상사 평균</t>
  </si>
  <si>
    <t>전체 평균</t>
  </si>
  <si>
    <t>상공전문학원 모집현황</t>
    <phoneticPr fontId="1" type="noConversion"/>
  </si>
  <si>
    <t>계열</t>
    <phoneticPr fontId="1" type="noConversion"/>
  </si>
  <si>
    <t>건축</t>
    <phoneticPr fontId="1" type="noConversion"/>
  </si>
  <si>
    <t>과정</t>
    <phoneticPr fontId="1" type="noConversion"/>
  </si>
  <si>
    <t>세부과정</t>
    <phoneticPr fontId="1" type="noConversion"/>
  </si>
  <si>
    <t>과목코드</t>
    <phoneticPr fontId="1" type="noConversion"/>
  </si>
  <si>
    <t>실내건축</t>
    <phoneticPr fontId="1" type="noConversion"/>
  </si>
  <si>
    <t>인테리어디자인</t>
    <phoneticPr fontId="1" type="noConversion"/>
  </si>
  <si>
    <t>글로벌호텔외식</t>
    <phoneticPr fontId="1" type="noConversion"/>
  </si>
  <si>
    <t>관광식음료</t>
    <phoneticPr fontId="1" type="noConversion"/>
  </si>
  <si>
    <t>커피바리스타</t>
    <phoneticPr fontId="1" type="noConversion"/>
  </si>
  <si>
    <t>호텔조리</t>
    <phoneticPr fontId="1" type="noConversion"/>
  </si>
  <si>
    <t>호텔외식조리</t>
    <phoneticPr fontId="1" type="noConversion"/>
  </si>
  <si>
    <t>미디어디자인</t>
    <phoneticPr fontId="1" type="noConversion"/>
  </si>
  <si>
    <t>시각디자인</t>
    <phoneticPr fontId="1" type="noConversion"/>
  </si>
  <si>
    <t>웹콘텐츠디자인</t>
    <phoneticPr fontId="1" type="noConversion"/>
  </si>
  <si>
    <t>뷰티예술</t>
    <phoneticPr fontId="1" type="noConversion"/>
  </si>
  <si>
    <t>미용</t>
    <phoneticPr fontId="1" type="noConversion"/>
  </si>
  <si>
    <t>피부미용</t>
    <phoneticPr fontId="1" type="noConversion"/>
  </si>
  <si>
    <t>미디어디자인</t>
    <phoneticPr fontId="1" type="noConversion"/>
  </si>
  <si>
    <t>컴퓨터산업디자인</t>
    <phoneticPr fontId="1" type="noConversion"/>
  </si>
  <si>
    <t>3D제품디자인</t>
    <phoneticPr fontId="1" type="noConversion"/>
  </si>
  <si>
    <t>수강료</t>
    <phoneticPr fontId="1" type="noConversion"/>
  </si>
  <si>
    <t>모집인원</t>
    <phoneticPr fontId="1" type="noConversion"/>
  </si>
  <si>
    <t>BL-002</t>
    <phoneticPr fontId="1" type="noConversion"/>
  </si>
  <si>
    <t>GH-009</t>
    <phoneticPr fontId="1" type="noConversion"/>
  </si>
  <si>
    <t>GH-102</t>
    <phoneticPr fontId="1" type="noConversion"/>
  </si>
  <si>
    <t>MD-321</t>
    <phoneticPr fontId="1" type="noConversion"/>
  </si>
  <si>
    <t>MD-504</t>
    <phoneticPr fontId="1" type="noConversion"/>
  </si>
  <si>
    <t>VA-732</t>
    <phoneticPr fontId="1" type="noConversion"/>
  </si>
  <si>
    <t>건축</t>
    <phoneticPr fontId="1" type="noConversion"/>
  </si>
  <si>
    <t>건축</t>
    <phoneticPr fontId="1" type="noConversion"/>
  </si>
  <si>
    <t>건축디자인</t>
    <phoneticPr fontId="1" type="noConversion"/>
  </si>
  <si>
    <t>BL-008</t>
    <phoneticPr fontId="1" type="noConversion"/>
  </si>
  <si>
    <t>[표1]</t>
    <phoneticPr fontId="1" type="noConversion"/>
  </si>
  <si>
    <t>출석</t>
    <phoneticPr fontId="1" type="noConversion"/>
  </si>
  <si>
    <t>면접</t>
    <phoneticPr fontId="1" type="noConversion"/>
  </si>
  <si>
    <t>등급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</si>
  <si>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</si>
  <si>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</si>
  <si>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</si>
  <si>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비고</t>
    <phoneticPr fontId="1" type="noConversion"/>
  </si>
  <si>
    <t>[표2]</t>
    <phoneticPr fontId="1" type="noConversion"/>
  </si>
  <si>
    <t>점수</t>
    <phoneticPr fontId="1" type="noConversion"/>
  </si>
  <si>
    <t>인사 관리현황</t>
    <phoneticPr fontId="1" type="noConversion"/>
  </si>
  <si>
    <t>회원별 포인트 보유현황</t>
    <phoneticPr fontId="1" type="noConversion"/>
  </si>
  <si>
    <t>가입일</t>
    <phoneticPr fontId="1" type="noConversion"/>
  </si>
  <si>
    <t>회원명</t>
    <phoneticPr fontId="1" type="noConversion"/>
  </si>
  <si>
    <t>포인트</t>
    <phoneticPr fontId="1" type="noConversion"/>
  </si>
  <si>
    <t>구매</t>
    <phoneticPr fontId="1" type="noConversion"/>
  </si>
  <si>
    <t>이벤트</t>
    <phoneticPr fontId="1" type="noConversion"/>
  </si>
  <si>
    <t>소멸일자</t>
    <phoneticPr fontId="1" type="noConversion"/>
  </si>
  <si>
    <t>최상호</t>
    <phoneticPr fontId="1" type="noConversion"/>
  </si>
  <si>
    <t>서나</t>
    <phoneticPr fontId="1" type="noConversion"/>
  </si>
  <si>
    <t>골드</t>
    <phoneticPr fontId="1" type="noConversion"/>
  </si>
  <si>
    <t>이순남</t>
    <phoneticPr fontId="1" type="noConversion"/>
  </si>
  <si>
    <t>일반</t>
    <phoneticPr fontId="1" type="noConversion"/>
  </si>
  <si>
    <t>곽정민</t>
    <phoneticPr fontId="1" type="noConversion"/>
  </si>
  <si>
    <t>김경재</t>
    <phoneticPr fontId="1" type="noConversion"/>
  </si>
  <si>
    <t>원이</t>
    <phoneticPr fontId="1" type="noConversion"/>
  </si>
  <si>
    <t>VIP</t>
    <phoneticPr fontId="1" type="noConversion"/>
  </si>
  <si>
    <t>9월9일</t>
    <phoneticPr fontId="1" type="noConversion"/>
  </si>
  <si>
    <t>선숙자</t>
    <phoneticPr fontId="1" type="noConversion"/>
  </si>
  <si>
    <t>총무부</t>
    <phoneticPr fontId="1" type="noConversion"/>
  </si>
  <si>
    <t>조건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</si>
</sst>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"/>
    <numFmt numFmtId="177" formatCode="@\ &quot;예정&quot;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7"/>
      <color theme="1"/>
      <name val="HY헤드라인M"/>
      <family val="1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7" fillId="3" borderId="0" applyNumberFormat="0" applyBorder="0" applyAlignment="0" applyProtection="0">
      <alignment vertical="center"/>
    </xf>
    <xf numFmtId="0" fontId="18" fillId="7" borderId="9" applyNumberFormat="0" applyAlignment="0" applyProtection="0">
      <alignment vertical="center"/>
    </xf>
  </cellStyleXfs>
  <cellXfs count="57">
    <xf numFmtId="0" fontId="0" fillId="0" borderId="0" xfId="0">
      <alignment vertical="center"/>
    </xf>
    <xf numFmtId="0" fontId="4" fillId="0" borderId="0" xfId="2" applyFont="1">
      <alignment vertical="center"/>
    </xf>
    <xf numFmtId="0" fontId="5" fillId="0" borderId="0" xfId="2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3" borderId="1" xfId="3" applyBorder="1" applyAlignment="1">
      <alignment horizontal="center" vertical="center"/>
    </xf>
    <xf numFmtId="0" fontId="8" fillId="3" borderId="1" xfId="3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8" xfId="0" applyNumberFormat="1" applyFill="1" applyBorder="1" applyAlignment="1">
      <alignment vertical="center"/>
    </xf>
    <xf numFmtId="0" fontId="12" fillId="4" borderId="3" xfId="0" applyFont="1" applyFill="1" applyBorder="1" applyAlignment="1">
      <alignment horizontal="left" vertical="center"/>
    </xf>
    <xf numFmtId="0" fontId="11" fillId="4" borderId="7" xfId="0" applyFont="1" applyFill="1" applyBorder="1" applyAlignment="1">
      <alignment horizontal="left" vertical="center"/>
    </xf>
    <xf numFmtId="0" fontId="12" fillId="4" borderId="7" xfId="0" applyFont="1" applyFill="1" applyBorder="1" applyAlignment="1">
      <alignment horizontal="left" vertical="center"/>
    </xf>
    <xf numFmtId="0" fontId="0" fillId="0" borderId="2" xfId="0" applyFill="1" applyBorder="1" applyAlignment="1">
      <alignment vertical="center"/>
    </xf>
    <xf numFmtId="0" fontId="13" fillId="5" borderId="0" xfId="0" applyFont="1" applyFill="1" applyBorder="1" applyAlignment="1">
      <alignment horizontal="left" vertical="center"/>
    </xf>
    <xf numFmtId="0" fontId="14" fillId="5" borderId="2" xfId="0" applyFont="1" applyFill="1" applyBorder="1" applyAlignment="1">
      <alignment horizontal="left" vertical="center"/>
    </xf>
    <xf numFmtId="0" fontId="15" fillId="5" borderId="2" xfId="0" applyFont="1" applyFill="1" applyBorder="1" applyAlignment="1">
      <alignment horizontal="left" vertical="center"/>
    </xf>
    <xf numFmtId="0" fontId="13" fillId="5" borderId="8" xfId="0" applyFont="1" applyFill="1" applyBorder="1" applyAlignment="1">
      <alignment horizontal="left" vertical="center"/>
    </xf>
    <xf numFmtId="0" fontId="11" fillId="4" borderId="7" xfId="0" applyFont="1" applyFill="1" applyBorder="1" applyAlignment="1">
      <alignment horizontal="right" vertical="center"/>
    </xf>
    <xf numFmtId="0" fontId="11" fillId="4" borderId="3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4" fillId="0" borderId="0" xfId="0" applyFont="1" applyFill="1" applyBorder="1" applyAlignment="1">
      <alignment vertical="top" wrapText="1"/>
    </xf>
    <xf numFmtId="0" fontId="16" fillId="0" borderId="1" xfId="0" applyFon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41" fontId="0" fillId="0" borderId="6" xfId="1" applyFont="1" applyBorder="1">
      <alignment vertical="center"/>
    </xf>
    <xf numFmtId="177" fontId="0" fillId="0" borderId="6" xfId="0" applyNumberFormat="1" applyBorder="1">
      <alignment vertical="center"/>
    </xf>
    <xf numFmtId="0" fontId="19" fillId="0" borderId="0" xfId="0" applyFont="1" applyAlignment="1">
      <alignment horizontal="centerContinuous" vertical="center"/>
    </xf>
    <xf numFmtId="0" fontId="18" fillId="7" borderId="10" xfId="4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18" fillId="7" borderId="1" xfId="4" applyBorder="1" applyAlignment="1">
      <alignment horizontal="center" vertical="center"/>
    </xf>
    <xf numFmtId="0" fontId="18" fillId="7" borderId="10" xfId="4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5">
    <cellStyle name="강조색1" xfId="3" builtinId="29"/>
    <cellStyle name="쉼표 [0]" xfId="1" builtinId="6"/>
    <cellStyle name="출력" xfId="4" builtinId="21"/>
    <cellStyle name="표준" xfId="0" builtinId="0"/>
    <cellStyle name="표준 8" xfId="2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부서별 인사평가 결과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1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차트작업!$F$3</c:f>
              <c:strCache>
                <c:ptCount val="1"/>
                <c:pt idx="0">
                  <c:v>총점</c:v>
                </c:pt>
              </c:strCache>
            </c:strRef>
          </c:tx>
          <c:dPt>
            <c:idx val="0"/>
            <c:bubble3D val="0"/>
            <c:explosion val="18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7944-40AC-8EC7-AF0A7703075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7944-40AC-8EC7-AF0A7703075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7944-40AC-8EC7-AF0A7703075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7944-40AC-8EC7-AF0A7703075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7944-40AC-8EC7-AF0A7703075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7944-40AC-8EC7-AF0A7703075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차트작업!$A$4:$A$9</c:f>
              <c:strCache>
                <c:ptCount val="6"/>
                <c:pt idx="0">
                  <c:v>생산부</c:v>
                </c:pt>
                <c:pt idx="1">
                  <c:v>기획부</c:v>
                </c:pt>
                <c:pt idx="2">
                  <c:v>인사부</c:v>
                </c:pt>
                <c:pt idx="3">
                  <c:v>영업부</c:v>
                </c:pt>
                <c:pt idx="4">
                  <c:v>홍보부</c:v>
                </c:pt>
                <c:pt idx="5">
                  <c:v>자재부</c:v>
                </c:pt>
              </c:strCache>
            </c:strRef>
          </c:cat>
          <c:val>
            <c:numRef>
              <c:f>차트작업!$F$4:$F$9</c:f>
              <c:numCache>
                <c:formatCode>General</c:formatCode>
                <c:ptCount val="6"/>
                <c:pt idx="0">
                  <c:v>83</c:v>
                </c:pt>
                <c:pt idx="1">
                  <c:v>70</c:v>
                </c:pt>
                <c:pt idx="2">
                  <c:v>72</c:v>
                </c:pt>
                <c:pt idx="3">
                  <c:v>77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7A-419C-B18D-6395639CFDC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14</xdr:row>
      <xdr:rowOff>0</xdr:rowOff>
    </xdr:from>
    <xdr:to>
      <xdr:col>5</xdr:col>
      <xdr:colOff>0</xdr:colOff>
      <xdr:row>16</xdr:row>
      <xdr:rowOff>0</xdr:rowOff>
    </xdr:to>
    <xdr:sp macro="[0]!쉼표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250871" y="3173186"/>
          <a:ext cx="1393372" cy="4463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쉼표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채용결과발표" adjustColumnWidth="0" connectionId="1" xr16:uid="{00000000-0016-0000-02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"/>
  <sheetViews>
    <sheetView workbookViewId="0"/>
  </sheetViews>
  <sheetFormatPr defaultRowHeight="16.5" x14ac:dyDescent="0.3"/>
  <cols>
    <col min="2" max="2" width="14.375" bestFit="1" customWidth="1"/>
    <col min="3" max="3" width="16.375" bestFit="1" customWidth="1"/>
    <col min="4" max="4" width="14.375" bestFit="1" customWidth="1"/>
    <col min="5" max="5" width="10.875" customWidth="1"/>
    <col min="6" max="6" width="9.375" customWidth="1"/>
  </cols>
  <sheetData>
    <row r="1" spans="1:6" x14ac:dyDescent="0.3">
      <c r="A1" t="s">
        <v>170</v>
      </c>
    </row>
    <row r="3" spans="1:6" x14ac:dyDescent="0.3">
      <c r="A3" t="s">
        <v>175</v>
      </c>
      <c r="B3" t="s">
        <v>171</v>
      </c>
      <c r="C3" t="s">
        <v>173</v>
      </c>
      <c r="D3" t="s">
        <v>174</v>
      </c>
      <c r="E3" t="s">
        <v>193</v>
      </c>
      <c r="F3" t="s">
        <v>192</v>
      </c>
    </row>
    <row r="4" spans="1:6" x14ac:dyDescent="0.3">
      <c r="A4" t="s">
        <v>194</v>
      </c>
      <c r="B4" t="s">
        <v>172</v>
      </c>
      <c r="C4" t="s">
        <v>176</v>
      </c>
      <c r="D4" t="s">
        <v>177</v>
      </c>
      <c r="E4">
        <v>20</v>
      </c>
      <c r="F4">
        <v>250000</v>
      </c>
    </row>
    <row r="5" spans="1:6" x14ac:dyDescent="0.3">
      <c r="A5" t="s">
        <v>203</v>
      </c>
      <c r="B5" t="s">
        <v>200</v>
      </c>
      <c r="C5" t="s">
        <v>201</v>
      </c>
      <c r="D5" t="s">
        <v>202</v>
      </c>
      <c r="E5">
        <v>16</v>
      </c>
      <c r="F5">
        <v>290000</v>
      </c>
    </row>
    <row r="6" spans="1:6" x14ac:dyDescent="0.3">
      <c r="A6" t="s">
        <v>195</v>
      </c>
      <c r="B6" t="s">
        <v>178</v>
      </c>
      <c r="C6" t="s">
        <v>179</v>
      </c>
      <c r="D6" t="s">
        <v>180</v>
      </c>
      <c r="E6">
        <v>15</v>
      </c>
      <c r="F6">
        <v>280000</v>
      </c>
    </row>
    <row r="7" spans="1:6" x14ac:dyDescent="0.3">
      <c r="A7" t="s">
        <v>196</v>
      </c>
      <c r="B7" t="s">
        <v>178</v>
      </c>
      <c r="C7" t="s">
        <v>181</v>
      </c>
      <c r="D7" t="s">
        <v>182</v>
      </c>
      <c r="E7">
        <v>18</v>
      </c>
      <c r="F7">
        <v>320000</v>
      </c>
    </row>
    <row r="8" spans="1:6" x14ac:dyDescent="0.3">
      <c r="A8" t="s">
        <v>197</v>
      </c>
      <c r="B8" t="s">
        <v>183</v>
      </c>
      <c r="C8" t="s">
        <v>184</v>
      </c>
      <c r="D8" t="s">
        <v>185</v>
      </c>
      <c r="E8">
        <v>22</v>
      </c>
      <c r="F8">
        <v>310000</v>
      </c>
    </row>
    <row r="9" spans="1:6" x14ac:dyDescent="0.3">
      <c r="A9" t="s">
        <v>198</v>
      </c>
      <c r="B9" t="s">
        <v>189</v>
      </c>
      <c r="C9" t="s">
        <v>190</v>
      </c>
      <c r="D9" t="s">
        <v>191</v>
      </c>
      <c r="E9">
        <v>24</v>
      </c>
      <c r="F9">
        <v>370000</v>
      </c>
    </row>
    <row r="10" spans="1:6" x14ac:dyDescent="0.3">
      <c r="A10" t="s">
        <v>199</v>
      </c>
      <c r="B10" t="s">
        <v>186</v>
      </c>
      <c r="C10" t="s">
        <v>187</v>
      </c>
      <c r="D10" t="s">
        <v>188</v>
      </c>
      <c r="E10">
        <v>25</v>
      </c>
      <c r="F10">
        <v>360000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4"/>
  <sheetViews>
    <sheetView workbookViewId="0"/>
  </sheetViews>
  <sheetFormatPr defaultRowHeight="16.5" x14ac:dyDescent="0.3"/>
  <cols>
    <col min="1" max="1" width="11.75" customWidth="1"/>
    <col min="4" max="4" width="11.75" bestFit="1" customWidth="1"/>
    <col min="9" max="9" width="12.375" bestFit="1" customWidth="1"/>
  </cols>
  <sheetData>
    <row r="1" spans="1:9" ht="21.75" x14ac:dyDescent="0.3">
      <c r="A1" s="44" t="s">
        <v>215</v>
      </c>
      <c r="B1" s="44"/>
      <c r="C1" s="44"/>
      <c r="D1" s="44"/>
      <c r="E1" s="44"/>
      <c r="F1" s="44"/>
      <c r="G1" s="44"/>
      <c r="H1" s="44"/>
      <c r="I1" s="44"/>
    </row>
    <row r="3" spans="1:9" x14ac:dyDescent="0.3">
      <c r="A3" s="50" t="s">
        <v>216</v>
      </c>
      <c r="B3" s="50" t="s">
        <v>217</v>
      </c>
      <c r="C3" s="50" t="s">
        <v>36</v>
      </c>
      <c r="D3" s="50" t="s">
        <v>0</v>
      </c>
      <c r="E3" s="50" t="s">
        <v>218</v>
      </c>
      <c r="F3" s="50"/>
      <c r="G3" s="50"/>
      <c r="H3" s="50"/>
      <c r="I3" s="50"/>
    </row>
    <row r="4" spans="1:9" ht="17.25" thickBot="1" x14ac:dyDescent="0.35">
      <c r="A4" s="51"/>
      <c r="B4" s="51"/>
      <c r="C4" s="51"/>
      <c r="D4" s="51"/>
      <c r="E4" s="45" t="s">
        <v>219</v>
      </c>
      <c r="F4" s="45" t="s">
        <v>220</v>
      </c>
      <c r="G4" s="45" t="s">
        <v>1</v>
      </c>
      <c r="H4" s="45" t="s">
        <v>2</v>
      </c>
      <c r="I4" s="45" t="s">
        <v>221</v>
      </c>
    </row>
    <row r="5" spans="1:9" ht="17.25" thickTop="1" x14ac:dyDescent="0.3">
      <c r="A5" s="41">
        <v>43193</v>
      </c>
      <c r="B5" s="40" t="s">
        <v>222</v>
      </c>
      <c r="C5" s="40" t="s">
        <v>38</v>
      </c>
      <c r="D5" s="42">
        <v>14739200</v>
      </c>
      <c r="E5" s="42">
        <v>737000</v>
      </c>
      <c r="F5" s="42">
        <v>16248</v>
      </c>
      <c r="G5" s="42">
        <v>10000</v>
      </c>
      <c r="H5" s="42">
        <v>763248</v>
      </c>
      <c r="I5" s="43" t="s">
        <v>42</v>
      </c>
    </row>
    <row r="6" spans="1:9" x14ac:dyDescent="0.3">
      <c r="A6" s="16">
        <v>43232</v>
      </c>
      <c r="B6" s="39" t="s">
        <v>50</v>
      </c>
      <c r="C6" s="39" t="s">
        <v>37</v>
      </c>
      <c r="D6" s="10">
        <v>17091200</v>
      </c>
      <c r="E6" s="10">
        <v>855000</v>
      </c>
      <c r="F6" s="10">
        <v>19823</v>
      </c>
      <c r="G6" s="10">
        <v>12000</v>
      </c>
      <c r="H6" s="10">
        <v>886823</v>
      </c>
      <c r="I6" s="17" t="s">
        <v>41</v>
      </c>
    </row>
    <row r="7" spans="1:9" x14ac:dyDescent="0.3">
      <c r="A7" s="16">
        <v>43306</v>
      </c>
      <c r="B7" s="39" t="s">
        <v>223</v>
      </c>
      <c r="C7" s="39" t="s">
        <v>39</v>
      </c>
      <c r="D7" s="10">
        <v>13171200</v>
      </c>
      <c r="E7" s="10">
        <v>659000</v>
      </c>
      <c r="F7" s="10">
        <v>20154</v>
      </c>
      <c r="G7" s="10">
        <v>20000</v>
      </c>
      <c r="H7" s="10">
        <v>699154</v>
      </c>
      <c r="I7" s="17" t="s">
        <v>43</v>
      </c>
    </row>
    <row r="8" spans="1:9" x14ac:dyDescent="0.3">
      <c r="A8" s="16">
        <v>43438</v>
      </c>
      <c r="B8" s="39" t="s">
        <v>51</v>
      </c>
      <c r="C8" s="39" t="s">
        <v>224</v>
      </c>
      <c r="D8" s="10">
        <v>14896000</v>
      </c>
      <c r="E8" s="10">
        <v>745000</v>
      </c>
      <c r="F8" s="10">
        <v>19354</v>
      </c>
      <c r="G8" s="10">
        <v>18000</v>
      </c>
      <c r="H8" s="10">
        <v>782354</v>
      </c>
      <c r="I8" s="17" t="s">
        <v>44</v>
      </c>
    </row>
    <row r="9" spans="1:9" x14ac:dyDescent="0.3">
      <c r="A9" s="16">
        <v>43495</v>
      </c>
      <c r="B9" s="39" t="s">
        <v>225</v>
      </c>
      <c r="C9" s="39" t="s">
        <v>226</v>
      </c>
      <c r="D9" s="10">
        <v>11289600</v>
      </c>
      <c r="E9" s="10">
        <v>564000</v>
      </c>
      <c r="F9" s="10">
        <v>31967</v>
      </c>
      <c r="G9" s="10">
        <v>18000</v>
      </c>
      <c r="H9" s="10">
        <v>613967</v>
      </c>
      <c r="I9" s="17" t="s">
        <v>45</v>
      </c>
    </row>
    <row r="10" spans="1:9" x14ac:dyDescent="0.3">
      <c r="A10" s="16">
        <v>43535</v>
      </c>
      <c r="B10" s="39" t="s">
        <v>227</v>
      </c>
      <c r="C10" s="39" t="s">
        <v>39</v>
      </c>
      <c r="D10" s="10">
        <v>10662400</v>
      </c>
      <c r="E10" s="10">
        <v>533000</v>
      </c>
      <c r="F10" s="10">
        <v>26875</v>
      </c>
      <c r="G10" s="10">
        <v>15000</v>
      </c>
      <c r="H10" s="10">
        <v>574875</v>
      </c>
      <c r="I10" s="17" t="s">
        <v>46</v>
      </c>
    </row>
    <row r="11" spans="1:9" x14ac:dyDescent="0.3">
      <c r="A11" s="16">
        <v>43567</v>
      </c>
      <c r="B11" s="39" t="s">
        <v>228</v>
      </c>
      <c r="C11" s="39" t="s">
        <v>40</v>
      </c>
      <c r="D11" s="10">
        <v>14739200</v>
      </c>
      <c r="E11" s="10">
        <v>737000</v>
      </c>
      <c r="F11" s="10">
        <v>21984</v>
      </c>
      <c r="G11" s="10">
        <v>15000</v>
      </c>
      <c r="H11" s="10">
        <v>773984</v>
      </c>
      <c r="I11" s="17" t="s">
        <v>48</v>
      </c>
    </row>
    <row r="12" spans="1:9" x14ac:dyDescent="0.3">
      <c r="A12" s="16">
        <v>44031</v>
      </c>
      <c r="B12" s="39" t="s">
        <v>229</v>
      </c>
      <c r="C12" s="39" t="s">
        <v>37</v>
      </c>
      <c r="D12" s="10">
        <v>15523200</v>
      </c>
      <c r="E12" s="10">
        <v>776000</v>
      </c>
      <c r="F12" s="10">
        <v>33021</v>
      </c>
      <c r="G12" s="10">
        <v>16000</v>
      </c>
      <c r="H12" s="10">
        <v>825021</v>
      </c>
      <c r="I12" s="17" t="s">
        <v>47</v>
      </c>
    </row>
    <row r="13" spans="1:9" x14ac:dyDescent="0.3">
      <c r="A13" s="16">
        <v>44058</v>
      </c>
      <c r="B13" s="39" t="s">
        <v>52</v>
      </c>
      <c r="C13" s="39" t="s">
        <v>230</v>
      </c>
      <c r="D13" s="10">
        <v>18188800</v>
      </c>
      <c r="E13" s="10">
        <v>909000</v>
      </c>
      <c r="F13" s="10">
        <v>13519</v>
      </c>
      <c r="G13" s="10">
        <v>10000</v>
      </c>
      <c r="H13" s="10">
        <v>932519</v>
      </c>
      <c r="I13" s="17" t="s">
        <v>231</v>
      </c>
    </row>
    <row r="14" spans="1:9" x14ac:dyDescent="0.3">
      <c r="A14" s="16">
        <v>44158</v>
      </c>
      <c r="B14" s="39" t="s">
        <v>232</v>
      </c>
      <c r="C14" s="39" t="s">
        <v>226</v>
      </c>
      <c r="D14" s="10">
        <v>13171200</v>
      </c>
      <c r="E14" s="10">
        <v>659000</v>
      </c>
      <c r="F14" s="10">
        <v>26934</v>
      </c>
      <c r="G14" s="10">
        <v>24000</v>
      </c>
      <c r="H14" s="10">
        <v>709934</v>
      </c>
      <c r="I14" s="17" t="s">
        <v>49</v>
      </c>
    </row>
  </sheetData>
  <mergeCells count="5">
    <mergeCell ref="E3:I3"/>
    <mergeCell ref="D3:D4"/>
    <mergeCell ref="C3:C4"/>
    <mergeCell ref="B3:B4"/>
    <mergeCell ref="A3:A4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27"/>
  <sheetViews>
    <sheetView workbookViewId="0">
      <selection sqref="A1:E16"/>
    </sheetView>
  </sheetViews>
  <sheetFormatPr defaultRowHeight="16.5" x14ac:dyDescent="0.3"/>
  <sheetData>
    <row r="1" spans="1:5" x14ac:dyDescent="0.3">
      <c r="A1" t="s">
        <v>130</v>
      </c>
    </row>
    <row r="3" spans="1:5" x14ac:dyDescent="0.3">
      <c r="A3" s="46" t="s">
        <v>131</v>
      </c>
      <c r="B3" s="46" t="s">
        <v>132</v>
      </c>
      <c r="C3" s="46" t="s">
        <v>133</v>
      </c>
      <c r="D3" s="46" t="s">
        <v>134</v>
      </c>
      <c r="E3" s="46" t="s">
        <v>135</v>
      </c>
    </row>
    <row r="4" spans="1:5" x14ac:dyDescent="0.3">
      <c r="A4" s="46" t="s">
        <v>136</v>
      </c>
      <c r="B4" s="10">
        <v>79</v>
      </c>
      <c r="C4" s="10">
        <v>89</v>
      </c>
      <c r="D4" s="10">
        <f>B4+C4</f>
        <v>168</v>
      </c>
      <c r="E4" s="48" t="s">
        <v>127</v>
      </c>
    </row>
    <row r="5" spans="1:5" x14ac:dyDescent="0.3">
      <c r="A5" s="46" t="s">
        <v>137</v>
      </c>
      <c r="B5" s="10">
        <v>98</v>
      </c>
      <c r="C5" s="10">
        <v>87</v>
      </c>
      <c r="D5" s="10">
        <f t="shared" ref="D5:D16" si="0">B5+C5</f>
        <v>185</v>
      </c>
      <c r="E5" s="48" t="s">
        <v>138</v>
      </c>
    </row>
    <row r="6" spans="1:5" x14ac:dyDescent="0.3">
      <c r="A6" s="46" t="s">
        <v>139</v>
      </c>
      <c r="B6" s="10">
        <v>88</v>
      </c>
      <c r="C6" s="10">
        <v>81</v>
      </c>
      <c r="D6" s="10">
        <f t="shared" si="0"/>
        <v>169</v>
      </c>
      <c r="E6" s="48" t="s">
        <v>128</v>
      </c>
    </row>
    <row r="7" spans="1:5" x14ac:dyDescent="0.3">
      <c r="A7" s="46" t="s">
        <v>140</v>
      </c>
      <c r="B7" s="10">
        <v>81</v>
      </c>
      <c r="C7" s="10">
        <v>80</v>
      </c>
      <c r="D7" s="10">
        <f t="shared" si="0"/>
        <v>161</v>
      </c>
      <c r="E7" s="48" t="s">
        <v>233</v>
      </c>
    </row>
    <row r="8" spans="1:5" x14ac:dyDescent="0.3">
      <c r="A8" s="46" t="s">
        <v>141</v>
      </c>
      <c r="B8" s="10">
        <v>90</v>
      </c>
      <c r="C8" s="10">
        <v>96</v>
      </c>
      <c r="D8" s="10">
        <f t="shared" si="0"/>
        <v>186</v>
      </c>
      <c r="E8" s="48" t="s">
        <v>142</v>
      </c>
    </row>
    <row r="9" spans="1:5" x14ac:dyDescent="0.3">
      <c r="A9" s="46" t="s">
        <v>143</v>
      </c>
      <c r="B9" s="10">
        <v>79</v>
      </c>
      <c r="C9" s="10">
        <v>76</v>
      </c>
      <c r="D9" s="10">
        <f t="shared" si="0"/>
        <v>155</v>
      </c>
      <c r="E9" s="48" t="s">
        <v>233</v>
      </c>
    </row>
    <row r="10" spans="1:5" x14ac:dyDescent="0.3">
      <c r="A10" s="46" t="s">
        <v>144</v>
      </c>
      <c r="B10" s="10">
        <v>86</v>
      </c>
      <c r="C10" s="10">
        <v>81</v>
      </c>
      <c r="D10" s="10">
        <f t="shared" si="0"/>
        <v>167</v>
      </c>
      <c r="E10" s="48" t="s">
        <v>125</v>
      </c>
    </row>
    <row r="11" spans="1:5" x14ac:dyDescent="0.3">
      <c r="A11" s="46" t="s">
        <v>145</v>
      </c>
      <c r="B11" s="10">
        <v>83</v>
      </c>
      <c r="C11" s="10">
        <v>90</v>
      </c>
      <c r="D11" s="10">
        <f t="shared" si="0"/>
        <v>173</v>
      </c>
      <c r="E11" s="48" t="s">
        <v>142</v>
      </c>
    </row>
    <row r="12" spans="1:5" x14ac:dyDescent="0.3">
      <c r="A12" s="46" t="s">
        <v>146</v>
      </c>
      <c r="B12" s="10">
        <v>95</v>
      </c>
      <c r="C12" s="10">
        <v>96</v>
      </c>
      <c r="D12" s="10">
        <f t="shared" si="0"/>
        <v>191</v>
      </c>
      <c r="E12" s="48" t="s">
        <v>142</v>
      </c>
    </row>
    <row r="13" spans="1:5" x14ac:dyDescent="0.3">
      <c r="A13" s="46" t="s">
        <v>147</v>
      </c>
      <c r="B13" s="10">
        <v>92</v>
      </c>
      <c r="C13" s="10">
        <v>88</v>
      </c>
      <c r="D13" s="10">
        <f t="shared" si="0"/>
        <v>180</v>
      </c>
      <c r="E13" s="48" t="s">
        <v>138</v>
      </c>
    </row>
    <row r="14" spans="1:5" x14ac:dyDescent="0.3">
      <c r="A14" s="46" t="s">
        <v>148</v>
      </c>
      <c r="B14" s="10">
        <v>84</v>
      </c>
      <c r="C14" s="10">
        <v>87</v>
      </c>
      <c r="D14" s="10">
        <f t="shared" si="0"/>
        <v>171</v>
      </c>
      <c r="E14" s="48" t="s">
        <v>138</v>
      </c>
    </row>
    <row r="15" spans="1:5" x14ac:dyDescent="0.3">
      <c r="A15" s="46" t="s">
        <v>149</v>
      </c>
      <c r="B15" s="10">
        <v>70</v>
      </c>
      <c r="C15" s="10">
        <v>61</v>
      </c>
      <c r="D15" s="10">
        <f t="shared" si="0"/>
        <v>131</v>
      </c>
      <c r="E15" s="48" t="s">
        <v>125</v>
      </c>
    </row>
    <row r="16" spans="1:5" x14ac:dyDescent="0.3">
      <c r="A16" s="46" t="s">
        <v>150</v>
      </c>
      <c r="B16" s="10">
        <v>59</v>
      </c>
      <c r="C16" s="10">
        <v>56</v>
      </c>
      <c r="D16" s="10">
        <f t="shared" si="0"/>
        <v>115</v>
      </c>
      <c r="E16" s="48" t="s">
        <v>125</v>
      </c>
    </row>
    <row r="18" spans="1:5" x14ac:dyDescent="0.3">
      <c r="A18" s="49" t="s">
        <v>234</v>
      </c>
    </row>
    <row r="19" spans="1:5" x14ac:dyDescent="0.3">
      <c r="A19" t="b">
        <f>C4&gt;B4</f>
        <v>1</v>
      </c>
    </row>
    <row r="22" spans="1:5" x14ac:dyDescent="0.3">
      <c r="A22" s="46" t="s">
        <v>131</v>
      </c>
      <c r="B22" s="46" t="s">
        <v>132</v>
      </c>
      <c r="C22" s="46" t="s">
        <v>133</v>
      </c>
      <c r="D22" s="46" t="s">
        <v>134</v>
      </c>
      <c r="E22" s="46" t="s">
        <v>135</v>
      </c>
    </row>
    <row r="23" spans="1:5" x14ac:dyDescent="0.3">
      <c r="A23" s="46" t="s">
        <v>136</v>
      </c>
      <c r="B23" s="10">
        <v>79</v>
      </c>
      <c r="C23" s="10">
        <v>89</v>
      </c>
      <c r="D23" s="10">
        <v>168</v>
      </c>
      <c r="E23" s="48" t="s">
        <v>127</v>
      </c>
    </row>
    <row r="24" spans="1:5" x14ac:dyDescent="0.3">
      <c r="A24" s="46" t="s">
        <v>141</v>
      </c>
      <c r="B24" s="10">
        <v>90</v>
      </c>
      <c r="C24" s="10">
        <v>96</v>
      </c>
      <c r="D24" s="10">
        <v>186</v>
      </c>
      <c r="E24" s="48" t="s">
        <v>142</v>
      </c>
    </row>
    <row r="25" spans="1:5" x14ac:dyDescent="0.3">
      <c r="A25" s="46" t="s">
        <v>145</v>
      </c>
      <c r="B25" s="10">
        <v>83</v>
      </c>
      <c r="C25" s="10">
        <v>90</v>
      </c>
      <c r="D25" s="10">
        <v>173</v>
      </c>
      <c r="E25" s="48" t="s">
        <v>142</v>
      </c>
    </row>
    <row r="26" spans="1:5" x14ac:dyDescent="0.3">
      <c r="A26" s="46" t="s">
        <v>146</v>
      </c>
      <c r="B26" s="10">
        <v>95</v>
      </c>
      <c r="C26" s="10">
        <v>96</v>
      </c>
      <c r="D26" s="10">
        <v>191</v>
      </c>
      <c r="E26" s="48" t="s">
        <v>142</v>
      </c>
    </row>
    <row r="27" spans="1:5" x14ac:dyDescent="0.3">
      <c r="A27" s="46" t="s">
        <v>148</v>
      </c>
      <c r="B27" s="10">
        <v>84</v>
      </c>
      <c r="C27" s="10">
        <v>87</v>
      </c>
      <c r="D27" s="10">
        <v>171</v>
      </c>
      <c r="E27" s="48" t="s">
        <v>138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25"/>
  <sheetViews>
    <sheetView tabSelected="1" workbookViewId="0">
      <selection activeCell="I3" sqref="I3"/>
    </sheetView>
  </sheetViews>
  <sheetFormatPr defaultRowHeight="16.5" x14ac:dyDescent="0.3"/>
  <cols>
    <col min="2" max="2" width="13.625" bestFit="1" customWidth="1"/>
    <col min="3" max="3" width="11" customWidth="1"/>
    <col min="4" max="4" width="12.375" bestFit="1" customWidth="1"/>
    <col min="5" max="6" width="9.5" customWidth="1"/>
    <col min="7" max="7" width="9.125" customWidth="1"/>
    <col min="8" max="8" width="9.375" customWidth="1"/>
    <col min="9" max="9" width="8" customWidth="1"/>
    <col min="10" max="10" width="8.5" customWidth="1"/>
  </cols>
  <sheetData>
    <row r="1" spans="1:9" x14ac:dyDescent="0.3">
      <c r="A1" s="1" t="s">
        <v>204</v>
      </c>
      <c r="B1" s="2" t="s">
        <v>214</v>
      </c>
    </row>
    <row r="2" spans="1:9" x14ac:dyDescent="0.3">
      <c r="A2" s="37" t="s">
        <v>3</v>
      </c>
      <c r="B2" s="5" t="s">
        <v>5</v>
      </c>
      <c r="C2" s="37" t="s">
        <v>213</v>
      </c>
      <c r="D2" s="37" t="s">
        <v>205</v>
      </c>
      <c r="E2" s="37" t="s">
        <v>206</v>
      </c>
      <c r="F2" s="4" t="s">
        <v>53</v>
      </c>
      <c r="G2" s="4" t="s">
        <v>4</v>
      </c>
      <c r="H2" s="4" t="s">
        <v>207</v>
      </c>
      <c r="I2" s="4" t="s">
        <v>211</v>
      </c>
    </row>
    <row r="3" spans="1:9" x14ac:dyDescent="0.3">
      <c r="A3" s="37" t="s">
        <v>73</v>
      </c>
      <c r="B3" s="37" t="s">
        <v>82</v>
      </c>
      <c r="C3" s="6">
        <v>84</v>
      </c>
      <c r="D3" s="6" t="s">
        <v>208</v>
      </c>
      <c r="E3" s="6" t="s">
        <v>209</v>
      </c>
      <c r="F3" s="37" t="str">
        <f t="shared" ref="F3:F11" si="0">IF(_xlfn.RANK.EQ(C3,$C$3:$C$11)=1,"A",IF(_xlfn.RANK.EQ(C3,$C$3:$C$11)&lt;=3,"B",IF(_xlfn.RANK.EQ(C3,$C$3:$C$11)&lt;=7,"C","재시험")))</f>
        <v>C</v>
      </c>
      <c r="G3" s="37">
        <f t="shared" ref="G3:G11" ca="1" si="1">YEAR(TODAY())-LEFT(B3,2)-1900</f>
        <v>31</v>
      </c>
      <c r="H3" s="38" t="str">
        <f t="shared" ref="H3:H11" si="2">IF(AND(D3="A",E3="A"),"최우수",IF(OR(D3="A",E3="A"),"우수",""))</f>
        <v>우수</v>
      </c>
      <c r="I3" s="38" t="str" cm="1">
        <f t="array" ref="I3">_xlfn.IFS(C3&gt;=LARGE($C$3:$C$11,2),"★",C3&lt;=SMALL($C$3:$C$11,2),"☆",TRUE,"")</f>
        <v/>
      </c>
    </row>
    <row r="4" spans="1:9" x14ac:dyDescent="0.3">
      <c r="A4" s="37" t="s">
        <v>74</v>
      </c>
      <c r="B4" s="37" t="s">
        <v>84</v>
      </c>
      <c r="C4" s="6">
        <v>57</v>
      </c>
      <c r="D4" s="6" t="s">
        <v>209</v>
      </c>
      <c r="E4" s="6" t="s">
        <v>210</v>
      </c>
      <c r="F4" s="37" t="str">
        <f t="shared" si="0"/>
        <v>재시험</v>
      </c>
      <c r="G4" s="37">
        <f t="shared" ca="1" si="1"/>
        <v>32</v>
      </c>
      <c r="H4" s="38" t="str">
        <f t="shared" si="2"/>
        <v/>
      </c>
      <c r="I4" s="47" t="str" cm="1">
        <f t="array" ref="I4">_xlfn.IFS(C4&gt;=LARGE($C$3:$C$11,2),"★",C4&lt;=SMALL($C$3:$C$11,2),"☆",TRUE,"")</f>
        <v>☆</v>
      </c>
    </row>
    <row r="5" spans="1:9" x14ac:dyDescent="0.3">
      <c r="A5" s="37" t="s">
        <v>75</v>
      </c>
      <c r="B5" s="37" t="s">
        <v>85</v>
      </c>
      <c r="C5" s="6">
        <v>95</v>
      </c>
      <c r="D5" s="6" t="s">
        <v>209</v>
      </c>
      <c r="E5" s="6" t="s">
        <v>208</v>
      </c>
      <c r="F5" s="37" t="str">
        <f t="shared" si="0"/>
        <v>B</v>
      </c>
      <c r="G5" s="37">
        <f t="shared" ca="1" si="1"/>
        <v>37</v>
      </c>
      <c r="H5" s="38" t="str">
        <f t="shared" si="2"/>
        <v>우수</v>
      </c>
      <c r="I5" s="47" t="str" cm="1">
        <f t="array" ref="I5">_xlfn.IFS(C5&gt;=LARGE($C$3:$C$11,2),"★",C5&lt;=SMALL($C$3:$C$11,2),"☆",TRUE,"")</f>
        <v>★</v>
      </c>
    </row>
    <row r="6" spans="1:9" x14ac:dyDescent="0.3">
      <c r="A6" s="37" t="s">
        <v>76</v>
      </c>
      <c r="B6" s="37" t="s">
        <v>8</v>
      </c>
      <c r="C6" s="6">
        <v>86</v>
      </c>
      <c r="D6" s="6" t="s">
        <v>209</v>
      </c>
      <c r="E6" s="6" t="s">
        <v>210</v>
      </c>
      <c r="F6" s="37" t="str">
        <f t="shared" si="0"/>
        <v>C</v>
      </c>
      <c r="G6" s="37">
        <f t="shared" ca="1" si="1"/>
        <v>39</v>
      </c>
      <c r="H6" s="38" t="str">
        <f t="shared" si="2"/>
        <v/>
      </c>
      <c r="I6" s="47" t="str" cm="1">
        <f t="array" ref="I6">_xlfn.IFS(C6&gt;=LARGE($C$3:$C$11,2),"★",C6&lt;=SMALL($C$3:$C$11,2),"☆",TRUE,"")</f>
        <v/>
      </c>
    </row>
    <row r="7" spans="1:9" x14ac:dyDescent="0.3">
      <c r="A7" s="37" t="s">
        <v>78</v>
      </c>
      <c r="B7" s="37" t="s">
        <v>9</v>
      </c>
      <c r="C7" s="6">
        <v>99</v>
      </c>
      <c r="D7" s="6" t="s">
        <v>208</v>
      </c>
      <c r="E7" s="6" t="s">
        <v>208</v>
      </c>
      <c r="F7" s="37" t="str">
        <f t="shared" si="0"/>
        <v>A</v>
      </c>
      <c r="G7" s="37">
        <f t="shared" ca="1" si="1"/>
        <v>34</v>
      </c>
      <c r="H7" s="38" t="str">
        <f t="shared" si="2"/>
        <v>최우수</v>
      </c>
      <c r="I7" s="47" t="str" cm="1">
        <f t="array" ref="I7">_xlfn.IFS(C7&gt;=LARGE($C$3:$C$11,2),"★",C7&lt;=SMALL($C$3:$C$11,2),"☆",TRUE,"")</f>
        <v>★</v>
      </c>
    </row>
    <row r="8" spans="1:9" x14ac:dyDescent="0.3">
      <c r="A8" s="37" t="s">
        <v>77</v>
      </c>
      <c r="B8" s="37" t="s">
        <v>10</v>
      </c>
      <c r="C8" s="6">
        <v>87</v>
      </c>
      <c r="D8" s="6" t="s">
        <v>208</v>
      </c>
      <c r="E8" s="6" t="s">
        <v>208</v>
      </c>
      <c r="F8" s="37" t="str">
        <f t="shared" si="0"/>
        <v>B</v>
      </c>
      <c r="G8" s="37">
        <f t="shared" ca="1" si="1"/>
        <v>37</v>
      </c>
      <c r="H8" s="38" t="str">
        <f t="shared" si="2"/>
        <v>최우수</v>
      </c>
      <c r="I8" s="47" t="str" cm="1">
        <f t="array" ref="I8">_xlfn.IFS(C8&gt;=LARGE($C$3:$C$11,2),"★",C8&lt;=SMALL($C$3:$C$11,2),"☆",TRUE,"")</f>
        <v/>
      </c>
    </row>
    <row r="9" spans="1:9" x14ac:dyDescent="0.3">
      <c r="A9" s="37" t="s">
        <v>79</v>
      </c>
      <c r="B9" s="37" t="s">
        <v>11</v>
      </c>
      <c r="C9" s="6">
        <v>62</v>
      </c>
      <c r="D9" s="6" t="s">
        <v>209</v>
      </c>
      <c r="E9" s="6" t="s">
        <v>210</v>
      </c>
      <c r="F9" s="37" t="str">
        <f t="shared" si="0"/>
        <v>재시험</v>
      </c>
      <c r="G9" s="37">
        <f t="shared" ca="1" si="1"/>
        <v>30</v>
      </c>
      <c r="H9" s="38" t="str">
        <f t="shared" si="2"/>
        <v/>
      </c>
      <c r="I9" s="47" t="str" cm="1">
        <f t="array" ref="I9">_xlfn.IFS(C9&gt;=LARGE($C$3:$C$11,2),"★",C9&lt;=SMALL($C$3:$C$11,2),"☆",TRUE,"")</f>
        <v>☆</v>
      </c>
    </row>
    <row r="10" spans="1:9" x14ac:dyDescent="0.3">
      <c r="A10" s="37" t="s">
        <v>80</v>
      </c>
      <c r="B10" s="37" t="s">
        <v>12</v>
      </c>
      <c r="C10" s="6">
        <v>75</v>
      </c>
      <c r="D10" s="6" t="s">
        <v>209</v>
      </c>
      <c r="E10" s="6" t="s">
        <v>208</v>
      </c>
      <c r="F10" s="37" t="str">
        <f t="shared" si="0"/>
        <v>C</v>
      </c>
      <c r="G10" s="37">
        <f t="shared" ca="1" si="1"/>
        <v>33</v>
      </c>
      <c r="H10" s="38" t="str">
        <f t="shared" si="2"/>
        <v>우수</v>
      </c>
      <c r="I10" s="47" t="str" cm="1">
        <f t="array" ref="I10">_xlfn.IFS(C10&gt;=LARGE($C$3:$C$11,2),"★",C10&lt;=SMALL($C$3:$C$11,2),"☆",TRUE,"")</f>
        <v/>
      </c>
    </row>
    <row r="11" spans="1:9" x14ac:dyDescent="0.3">
      <c r="A11" s="37" t="s">
        <v>81</v>
      </c>
      <c r="B11" s="37" t="s">
        <v>83</v>
      </c>
      <c r="C11" s="6">
        <v>81</v>
      </c>
      <c r="D11" s="6" t="s">
        <v>210</v>
      </c>
      <c r="E11" s="6" t="s">
        <v>209</v>
      </c>
      <c r="F11" s="37" t="str">
        <f t="shared" si="0"/>
        <v>C</v>
      </c>
      <c r="G11" s="37">
        <f t="shared" ca="1" si="1"/>
        <v>35</v>
      </c>
      <c r="H11" s="38" t="str">
        <f t="shared" si="2"/>
        <v/>
      </c>
      <c r="I11" s="47" t="str" cm="1">
        <f t="array" ref="I11">_xlfn.IFS(C11&gt;=LARGE($C$3:$C$11,2),"★",C11&lt;=SMALL($C$3:$C$11,2),"☆",TRUE,"")</f>
        <v/>
      </c>
    </row>
    <row r="13" spans="1:9" x14ac:dyDescent="0.3">
      <c r="A13" s="1" t="s">
        <v>212</v>
      </c>
      <c r="B13" s="2" t="s">
        <v>13</v>
      </c>
    </row>
    <row r="14" spans="1:9" x14ac:dyDescent="0.3">
      <c r="A14" s="37" t="s">
        <v>14</v>
      </c>
      <c r="B14" s="37" t="s">
        <v>15</v>
      </c>
      <c r="C14" s="37" t="s">
        <v>16</v>
      </c>
      <c r="D14" s="4" t="s">
        <v>17</v>
      </c>
    </row>
    <row r="15" spans="1:9" x14ac:dyDescent="0.3">
      <c r="A15" s="37" t="s">
        <v>71</v>
      </c>
      <c r="B15" s="37" t="s">
        <v>7</v>
      </c>
      <c r="C15" s="37" t="s">
        <v>72</v>
      </c>
      <c r="D15" s="37" t="str">
        <f t="shared" ref="D15:D21" si="3">INDEX($B$25:$D$25,1,MATCH(LEFT(A15,2),$B$24:$D$24,0))</f>
        <v>소아청소년과</v>
      </c>
      <c r="E15" s="13"/>
      <c r="F15" s="13"/>
    </row>
    <row r="16" spans="1:9" x14ac:dyDescent="0.3">
      <c r="A16" s="37" t="s">
        <v>60</v>
      </c>
      <c r="B16" s="37" t="s">
        <v>7</v>
      </c>
      <c r="C16" s="37" t="s">
        <v>69</v>
      </c>
      <c r="D16" s="37" t="str">
        <f t="shared" si="3"/>
        <v>소아청소년과</v>
      </c>
      <c r="E16" s="13"/>
      <c r="F16" s="13"/>
    </row>
    <row r="17" spans="1:6" x14ac:dyDescent="0.3">
      <c r="A17" s="37" t="s">
        <v>56</v>
      </c>
      <c r="B17" s="37" t="s">
        <v>7</v>
      </c>
      <c r="C17" s="37" t="s">
        <v>65</v>
      </c>
      <c r="D17" s="37" t="str">
        <f t="shared" si="3"/>
        <v>이비인후과</v>
      </c>
      <c r="E17" s="13"/>
      <c r="F17" s="13"/>
    </row>
    <row r="18" spans="1:6" x14ac:dyDescent="0.3">
      <c r="A18" s="37" t="s">
        <v>64</v>
      </c>
      <c r="B18" s="37" t="s">
        <v>6</v>
      </c>
      <c r="C18" s="37" t="s">
        <v>18</v>
      </c>
      <c r="D18" s="37" t="str">
        <f t="shared" si="3"/>
        <v>피부과</v>
      </c>
      <c r="E18" s="13"/>
      <c r="F18" s="13"/>
    </row>
    <row r="19" spans="1:6" x14ac:dyDescent="0.3">
      <c r="A19" s="37" t="s">
        <v>57</v>
      </c>
      <c r="B19" s="37" t="s">
        <v>7</v>
      </c>
      <c r="C19" s="37" t="s">
        <v>66</v>
      </c>
      <c r="D19" s="37" t="str">
        <f t="shared" si="3"/>
        <v>이비인후과</v>
      </c>
      <c r="E19" s="13"/>
      <c r="F19" s="13"/>
    </row>
    <row r="20" spans="1:6" x14ac:dyDescent="0.3">
      <c r="A20" s="37" t="s">
        <v>61</v>
      </c>
      <c r="B20" s="37" t="s">
        <v>6</v>
      </c>
      <c r="C20" s="37" t="s">
        <v>70</v>
      </c>
      <c r="D20" s="37" t="str">
        <f t="shared" si="3"/>
        <v>소아청소년과</v>
      </c>
      <c r="E20" s="13"/>
      <c r="F20" s="13"/>
    </row>
    <row r="21" spans="1:6" x14ac:dyDescent="0.3">
      <c r="A21" s="37" t="s">
        <v>58</v>
      </c>
      <c r="B21" s="37" t="s">
        <v>6</v>
      </c>
      <c r="C21" s="37" t="s">
        <v>67</v>
      </c>
      <c r="D21" s="37" t="str">
        <f t="shared" si="3"/>
        <v>이비인후과</v>
      </c>
      <c r="E21" s="13"/>
      <c r="F21" s="13"/>
    </row>
    <row r="22" spans="1:6" x14ac:dyDescent="0.3">
      <c r="A22" s="13"/>
      <c r="B22" s="13"/>
      <c r="C22" s="13"/>
      <c r="D22" s="13"/>
      <c r="E22" s="13"/>
      <c r="F22" s="13"/>
    </row>
    <row r="23" spans="1:6" x14ac:dyDescent="0.3">
      <c r="A23" t="s">
        <v>19</v>
      </c>
    </row>
    <row r="24" spans="1:6" x14ac:dyDescent="0.3">
      <c r="A24" s="37" t="s">
        <v>20</v>
      </c>
      <c r="B24" s="37" t="s">
        <v>59</v>
      </c>
      <c r="C24" s="37" t="s">
        <v>63</v>
      </c>
      <c r="D24" s="37" t="s">
        <v>55</v>
      </c>
      <c r="E24" s="13"/>
      <c r="F24" s="13"/>
    </row>
    <row r="25" spans="1:6" x14ac:dyDescent="0.3">
      <c r="A25" s="37" t="s">
        <v>17</v>
      </c>
      <c r="B25" s="37" t="s">
        <v>68</v>
      </c>
      <c r="C25" s="37" t="s">
        <v>62</v>
      </c>
      <c r="D25" s="37" t="s">
        <v>54</v>
      </c>
      <c r="E25" s="13"/>
      <c r="F25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3" max="3" width="10.5" bestFit="1" customWidth="1"/>
    <col min="4" max="6" width="10.5" bestFit="1" customWidth="1" outlineLevel="1"/>
  </cols>
  <sheetData>
    <row r="1" spans="2:6" ht="17.25" thickBot="1" x14ac:dyDescent="0.35"/>
    <row r="2" spans="2:6" x14ac:dyDescent="0.3">
      <c r="B2" s="22" t="s">
        <v>155</v>
      </c>
      <c r="C2" s="23"/>
      <c r="D2" s="29"/>
      <c r="E2" s="29"/>
      <c r="F2" s="29"/>
    </row>
    <row r="3" spans="2:6" collapsed="1" x14ac:dyDescent="0.3">
      <c r="B3" s="21"/>
      <c r="C3" s="21"/>
      <c r="D3" s="30" t="s">
        <v>157</v>
      </c>
      <c r="E3" s="30" t="s">
        <v>153</v>
      </c>
      <c r="F3" s="30" t="s">
        <v>154</v>
      </c>
    </row>
    <row r="4" spans="2:6" hidden="1" outlineLevel="1" x14ac:dyDescent="0.3">
      <c r="B4" s="25"/>
      <c r="C4" s="25"/>
      <c r="D4" s="18"/>
      <c r="E4" s="32"/>
      <c r="F4" s="32"/>
    </row>
    <row r="5" spans="2:6" x14ac:dyDescent="0.3">
      <c r="B5" s="26" t="s">
        <v>156</v>
      </c>
      <c r="C5" s="27"/>
      <c r="D5" s="24"/>
      <c r="E5" s="24"/>
      <c r="F5" s="24"/>
    </row>
    <row r="6" spans="2:6" outlineLevel="1" x14ac:dyDescent="0.3">
      <c r="B6" s="25"/>
      <c r="C6" s="25" t="s">
        <v>151</v>
      </c>
      <c r="D6" s="19">
        <v>0.2</v>
      </c>
      <c r="E6" s="31">
        <v>0.25</v>
      </c>
      <c r="F6" s="31">
        <v>0.15</v>
      </c>
    </row>
    <row r="7" spans="2:6" x14ac:dyDescent="0.3">
      <c r="B7" s="26" t="s">
        <v>158</v>
      </c>
      <c r="C7" s="27"/>
      <c r="D7" s="24"/>
      <c r="E7" s="24"/>
      <c r="F7" s="24"/>
    </row>
    <row r="8" spans="2:6" ht="17.25" outlineLevel="1" thickBot="1" x14ac:dyDescent="0.35">
      <c r="B8" s="28"/>
      <c r="C8" s="28" t="s">
        <v>152</v>
      </c>
      <c r="D8" s="20">
        <v>72485</v>
      </c>
      <c r="E8" s="20">
        <v>90606.25</v>
      </c>
      <c r="F8" s="20">
        <v>54363.75</v>
      </c>
    </row>
    <row r="9" spans="2:6" x14ac:dyDescent="0.3">
      <c r="B9" t="s">
        <v>159</v>
      </c>
    </row>
    <row r="10" spans="2:6" x14ac:dyDescent="0.3">
      <c r="B10" t="s">
        <v>160</v>
      </c>
    </row>
    <row r="11" spans="2:6" x14ac:dyDescent="0.3">
      <c r="B11" t="s">
        <v>161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24"/>
  <sheetViews>
    <sheetView workbookViewId="0"/>
  </sheetViews>
  <sheetFormatPr defaultRowHeight="16.5" x14ac:dyDescent="0.3"/>
  <sheetData>
    <row r="1" spans="1:9" ht="20.25" x14ac:dyDescent="0.3">
      <c r="A1" s="56" t="s">
        <v>96</v>
      </c>
      <c r="B1" s="56"/>
      <c r="C1" s="56"/>
      <c r="D1" s="56"/>
      <c r="E1" s="56"/>
      <c r="F1" s="56"/>
      <c r="G1" s="56"/>
    </row>
    <row r="2" spans="1:9" x14ac:dyDescent="0.3">
      <c r="G2" s="9" t="s">
        <v>23</v>
      </c>
    </row>
    <row r="3" spans="1:9" x14ac:dyDescent="0.3">
      <c r="A3" s="3" t="s">
        <v>24</v>
      </c>
      <c r="B3" s="3" t="s">
        <v>25</v>
      </c>
      <c r="C3" s="3" t="s">
        <v>26</v>
      </c>
      <c r="D3" s="3" t="s">
        <v>27</v>
      </c>
      <c r="E3" s="3" t="s">
        <v>28</v>
      </c>
      <c r="F3" s="3" t="s">
        <v>29</v>
      </c>
      <c r="G3" s="5" t="s">
        <v>30</v>
      </c>
      <c r="I3" s="5" t="s">
        <v>31</v>
      </c>
    </row>
    <row r="4" spans="1:9" x14ac:dyDescent="0.3">
      <c r="A4" s="53" t="s">
        <v>97</v>
      </c>
      <c r="B4" s="3" t="s">
        <v>32</v>
      </c>
      <c r="C4" s="8">
        <v>120</v>
      </c>
      <c r="D4" s="8">
        <v>72</v>
      </c>
      <c r="E4" s="8">
        <v>220</v>
      </c>
      <c r="F4" s="8">
        <f>D4*E4</f>
        <v>15840</v>
      </c>
      <c r="G4" s="10">
        <f>F4*$I$4</f>
        <v>3168</v>
      </c>
      <c r="I4" s="11">
        <v>0.2</v>
      </c>
    </row>
    <row r="5" spans="1:9" x14ac:dyDescent="0.3">
      <c r="A5" s="54"/>
      <c r="B5" s="3" t="s">
        <v>33</v>
      </c>
      <c r="C5" s="8">
        <v>150</v>
      </c>
      <c r="D5" s="8">
        <v>128</v>
      </c>
      <c r="E5" s="8">
        <v>110</v>
      </c>
      <c r="F5" s="8">
        <f t="shared" ref="F5:F19" si="0">D5*E5</f>
        <v>14080</v>
      </c>
      <c r="G5" s="10">
        <f t="shared" ref="G5:G19" si="1">F5*$I$4</f>
        <v>2816</v>
      </c>
    </row>
    <row r="6" spans="1:9" x14ac:dyDescent="0.3">
      <c r="A6" s="54"/>
      <c r="B6" s="3" t="s">
        <v>34</v>
      </c>
      <c r="C6" s="8">
        <v>200</v>
      </c>
      <c r="D6" s="8">
        <v>142</v>
      </c>
      <c r="E6" s="8">
        <v>130</v>
      </c>
      <c r="F6" s="8">
        <f t="shared" si="0"/>
        <v>18460</v>
      </c>
      <c r="G6" s="10">
        <f t="shared" si="1"/>
        <v>3692</v>
      </c>
    </row>
    <row r="7" spans="1:9" x14ac:dyDescent="0.3">
      <c r="A7" s="55"/>
      <c r="B7" s="3" t="s">
        <v>101</v>
      </c>
      <c r="C7" s="8">
        <v>120</v>
      </c>
      <c r="D7" s="8">
        <v>84</v>
      </c>
      <c r="E7" s="8">
        <v>125</v>
      </c>
      <c r="F7" s="8">
        <f t="shared" si="0"/>
        <v>10500</v>
      </c>
      <c r="G7" s="10">
        <f t="shared" si="1"/>
        <v>2100</v>
      </c>
    </row>
    <row r="8" spans="1:9" x14ac:dyDescent="0.3">
      <c r="A8" s="53" t="s">
        <v>100</v>
      </c>
      <c r="B8" s="3" t="s">
        <v>32</v>
      </c>
      <c r="C8" s="8">
        <v>150</v>
      </c>
      <c r="D8" s="8">
        <v>123</v>
      </c>
      <c r="E8" s="8">
        <v>220</v>
      </c>
      <c r="F8" s="8">
        <f t="shared" si="0"/>
        <v>27060</v>
      </c>
      <c r="G8" s="10">
        <f t="shared" si="1"/>
        <v>5412</v>
      </c>
    </row>
    <row r="9" spans="1:9" x14ac:dyDescent="0.3">
      <c r="A9" s="54"/>
      <c r="B9" s="3" t="s">
        <v>33</v>
      </c>
      <c r="C9" s="8">
        <v>120</v>
      </c>
      <c r="D9" s="8">
        <v>86</v>
      </c>
      <c r="E9" s="8">
        <v>110</v>
      </c>
      <c r="F9" s="8">
        <f t="shared" si="0"/>
        <v>9460</v>
      </c>
      <c r="G9" s="10">
        <f t="shared" si="1"/>
        <v>1892</v>
      </c>
    </row>
    <row r="10" spans="1:9" x14ac:dyDescent="0.3">
      <c r="A10" s="54"/>
      <c r="B10" s="3" t="s">
        <v>34</v>
      </c>
      <c r="C10" s="8">
        <v>200</v>
      </c>
      <c r="D10" s="8">
        <v>168</v>
      </c>
      <c r="E10" s="8">
        <v>130</v>
      </c>
      <c r="F10" s="8">
        <f t="shared" si="0"/>
        <v>21840</v>
      </c>
      <c r="G10" s="10">
        <f t="shared" si="1"/>
        <v>4368</v>
      </c>
    </row>
    <row r="11" spans="1:9" x14ac:dyDescent="0.3">
      <c r="A11" s="55"/>
      <c r="B11" s="3" t="s">
        <v>101</v>
      </c>
      <c r="C11" s="8">
        <v>300</v>
      </c>
      <c r="D11" s="8">
        <v>164</v>
      </c>
      <c r="E11" s="8">
        <v>125</v>
      </c>
      <c r="F11" s="8">
        <f t="shared" si="0"/>
        <v>20500</v>
      </c>
      <c r="G11" s="10">
        <f t="shared" si="1"/>
        <v>4100</v>
      </c>
    </row>
    <row r="12" spans="1:9" x14ac:dyDescent="0.3">
      <c r="A12" s="53" t="s">
        <v>98</v>
      </c>
      <c r="B12" s="3" t="s">
        <v>32</v>
      </c>
      <c r="C12" s="8">
        <v>150</v>
      </c>
      <c r="D12" s="8">
        <v>99</v>
      </c>
      <c r="E12" s="8">
        <v>220</v>
      </c>
      <c r="F12" s="8">
        <f t="shared" si="0"/>
        <v>21780</v>
      </c>
      <c r="G12" s="10">
        <f t="shared" si="1"/>
        <v>4356</v>
      </c>
    </row>
    <row r="13" spans="1:9" x14ac:dyDescent="0.3">
      <c r="A13" s="54"/>
      <c r="B13" s="3" t="s">
        <v>33</v>
      </c>
      <c r="C13" s="8">
        <v>200</v>
      </c>
      <c r="D13" s="8">
        <v>111</v>
      </c>
      <c r="E13" s="8">
        <v>110</v>
      </c>
      <c r="F13" s="8">
        <f t="shared" si="0"/>
        <v>12210</v>
      </c>
      <c r="G13" s="10">
        <f t="shared" si="1"/>
        <v>2442</v>
      </c>
    </row>
    <row r="14" spans="1:9" x14ac:dyDescent="0.3">
      <c r="A14" s="54"/>
      <c r="B14" s="3" t="s">
        <v>34</v>
      </c>
      <c r="C14" s="8">
        <v>250</v>
      </c>
      <c r="D14" s="8">
        <v>201</v>
      </c>
      <c r="E14" s="8">
        <v>130</v>
      </c>
      <c r="F14" s="8">
        <f t="shared" si="0"/>
        <v>26130</v>
      </c>
      <c r="G14" s="10">
        <f t="shared" si="1"/>
        <v>5226</v>
      </c>
    </row>
    <row r="15" spans="1:9" x14ac:dyDescent="0.3">
      <c r="A15" s="55"/>
      <c r="B15" s="3" t="s">
        <v>101</v>
      </c>
      <c r="C15" s="8">
        <v>200</v>
      </c>
      <c r="D15" s="8">
        <v>139</v>
      </c>
      <c r="E15" s="8">
        <v>125</v>
      </c>
      <c r="F15" s="8">
        <f t="shared" si="0"/>
        <v>17375</v>
      </c>
      <c r="G15" s="10">
        <f t="shared" si="1"/>
        <v>3475</v>
      </c>
    </row>
    <row r="16" spans="1:9" x14ac:dyDescent="0.3">
      <c r="A16" s="53" t="s">
        <v>95</v>
      </c>
      <c r="B16" s="3" t="s">
        <v>32</v>
      </c>
      <c r="C16" s="8">
        <v>150</v>
      </c>
      <c r="D16" s="8">
        <v>109</v>
      </c>
      <c r="E16" s="8">
        <v>220</v>
      </c>
      <c r="F16" s="8">
        <f t="shared" si="0"/>
        <v>23980</v>
      </c>
      <c r="G16" s="10">
        <f t="shared" si="1"/>
        <v>4796</v>
      </c>
    </row>
    <row r="17" spans="1:7" x14ac:dyDescent="0.3">
      <c r="A17" s="54"/>
      <c r="B17" s="3" t="s">
        <v>33</v>
      </c>
      <c r="C17" s="8">
        <v>120</v>
      </c>
      <c r="D17" s="8">
        <v>92</v>
      </c>
      <c r="E17" s="8">
        <v>110</v>
      </c>
      <c r="F17" s="8">
        <f t="shared" si="0"/>
        <v>10120</v>
      </c>
      <c r="G17" s="10">
        <f t="shared" si="1"/>
        <v>2024</v>
      </c>
    </row>
    <row r="18" spans="1:7" x14ac:dyDescent="0.3">
      <c r="A18" s="54"/>
      <c r="B18" s="3" t="s">
        <v>34</v>
      </c>
      <c r="C18" s="8">
        <v>150</v>
      </c>
      <c r="D18" s="8">
        <v>77</v>
      </c>
      <c r="E18" s="8">
        <v>130</v>
      </c>
      <c r="F18" s="8">
        <f t="shared" si="0"/>
        <v>10010</v>
      </c>
      <c r="G18" s="10">
        <f t="shared" si="1"/>
        <v>2002</v>
      </c>
    </row>
    <row r="19" spans="1:7" x14ac:dyDescent="0.3">
      <c r="A19" s="55"/>
      <c r="B19" s="3" t="s">
        <v>101</v>
      </c>
      <c r="C19" s="8">
        <v>200</v>
      </c>
      <c r="D19" s="8">
        <v>175</v>
      </c>
      <c r="E19" s="8">
        <v>235</v>
      </c>
      <c r="F19" s="8">
        <f t="shared" si="0"/>
        <v>41125</v>
      </c>
      <c r="G19" s="10">
        <f t="shared" si="1"/>
        <v>8225</v>
      </c>
    </row>
    <row r="20" spans="1:7" x14ac:dyDescent="0.3">
      <c r="A20" s="53" t="s">
        <v>99</v>
      </c>
      <c r="B20" s="12" t="s">
        <v>32</v>
      </c>
      <c r="C20" s="8">
        <v>100</v>
      </c>
      <c r="D20" s="8">
        <v>85</v>
      </c>
      <c r="E20" s="8">
        <v>220</v>
      </c>
      <c r="F20" s="8">
        <f t="shared" ref="F20:F23" si="2">D20*E20</f>
        <v>18700</v>
      </c>
      <c r="G20" s="10">
        <f t="shared" ref="G20:G23" si="3">F20*$I$4</f>
        <v>3740</v>
      </c>
    </row>
    <row r="21" spans="1:7" x14ac:dyDescent="0.3">
      <c r="A21" s="54"/>
      <c r="B21" s="12" t="s">
        <v>33</v>
      </c>
      <c r="C21" s="8">
        <v>110</v>
      </c>
      <c r="D21" s="8">
        <v>98</v>
      </c>
      <c r="E21" s="8">
        <v>110</v>
      </c>
      <c r="F21" s="8">
        <f t="shared" si="2"/>
        <v>10780</v>
      </c>
      <c r="G21" s="10">
        <f t="shared" si="3"/>
        <v>2156</v>
      </c>
    </row>
    <row r="22" spans="1:7" x14ac:dyDescent="0.3">
      <c r="A22" s="54"/>
      <c r="B22" s="12" t="s">
        <v>34</v>
      </c>
      <c r="C22" s="8">
        <v>125</v>
      </c>
      <c r="D22" s="8">
        <v>120</v>
      </c>
      <c r="E22" s="8">
        <v>130</v>
      </c>
      <c r="F22" s="8">
        <f t="shared" si="2"/>
        <v>15600</v>
      </c>
      <c r="G22" s="10">
        <f t="shared" si="3"/>
        <v>3120</v>
      </c>
    </row>
    <row r="23" spans="1:7" x14ac:dyDescent="0.3">
      <c r="A23" s="55"/>
      <c r="B23" s="12" t="s">
        <v>101</v>
      </c>
      <c r="C23" s="8">
        <v>150</v>
      </c>
      <c r="D23" s="8">
        <v>135</v>
      </c>
      <c r="E23" s="8">
        <v>125</v>
      </c>
      <c r="F23" s="8">
        <f t="shared" si="2"/>
        <v>16875</v>
      </c>
      <c r="G23" s="10">
        <f t="shared" si="3"/>
        <v>3375</v>
      </c>
    </row>
    <row r="24" spans="1:7" x14ac:dyDescent="0.3">
      <c r="A24" s="52" t="s">
        <v>2</v>
      </c>
      <c r="B24" s="52"/>
      <c r="C24" s="10">
        <f>SUM(C4:C23)</f>
        <v>3265</v>
      </c>
      <c r="D24" s="10">
        <f t="shared" ref="D24:G24" si="4">SUM(D4:D23)</f>
        <v>2408</v>
      </c>
      <c r="E24" s="10">
        <f t="shared" si="4"/>
        <v>3035</v>
      </c>
      <c r="F24" s="10">
        <f t="shared" si="4"/>
        <v>362425</v>
      </c>
      <c r="G24" s="10">
        <f t="shared" si="4"/>
        <v>72485</v>
      </c>
    </row>
  </sheetData>
  <scenarios current="1" sqref="G24">
    <scenario name="순이익증가" locked="1" count="1" user="user">
      <inputCells r="I4" val="0.25" numFmtId="9"/>
    </scenario>
    <scenario name="순이익감소" locked="1" count="1" user="user">
      <inputCells r="I4" val="0.15" numFmtId="9"/>
    </scenario>
  </scenarios>
  <mergeCells count="7">
    <mergeCell ref="A24:B24"/>
    <mergeCell ref="A20:A23"/>
    <mergeCell ref="A1:G1"/>
    <mergeCell ref="A4:A7"/>
    <mergeCell ref="A8:A11"/>
    <mergeCell ref="A12:A15"/>
    <mergeCell ref="A16:A1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27"/>
  <sheetViews>
    <sheetView workbookViewId="0"/>
  </sheetViews>
  <sheetFormatPr defaultRowHeight="16.5" outlineLevelRow="3" x14ac:dyDescent="0.3"/>
  <cols>
    <col min="1" max="1" width="10.875" customWidth="1"/>
    <col min="2" max="2" width="13.125" bestFit="1" customWidth="1"/>
    <col min="3" max="3" width="12.75" bestFit="1" customWidth="1"/>
    <col min="4" max="5" width="11.75" bestFit="1" customWidth="1"/>
  </cols>
  <sheetData>
    <row r="1" spans="1:5" ht="20.25" x14ac:dyDescent="0.3">
      <c r="A1" s="56" t="s">
        <v>93</v>
      </c>
      <c r="B1" s="56"/>
      <c r="C1" s="56"/>
      <c r="D1" s="56"/>
      <c r="E1" s="56"/>
    </row>
    <row r="3" spans="1:5" x14ac:dyDescent="0.3">
      <c r="A3" s="3" t="s">
        <v>21</v>
      </c>
      <c r="B3" s="3" t="s">
        <v>92</v>
      </c>
      <c r="C3" s="3" t="s">
        <v>94</v>
      </c>
      <c r="D3" s="3" t="s">
        <v>22</v>
      </c>
      <c r="E3" s="3" t="s">
        <v>91</v>
      </c>
    </row>
    <row r="4" spans="1:5" outlineLevel="3" x14ac:dyDescent="0.3">
      <c r="A4" s="7">
        <v>45902</v>
      </c>
      <c r="B4" s="3" t="s">
        <v>87</v>
      </c>
      <c r="C4" s="8">
        <v>14360000</v>
      </c>
      <c r="D4" s="8">
        <v>1720000</v>
      </c>
      <c r="E4" s="8">
        <v>12640000</v>
      </c>
    </row>
    <row r="5" spans="1:5" outlineLevel="3" x14ac:dyDescent="0.3">
      <c r="A5" s="7">
        <v>45913</v>
      </c>
      <c r="B5" s="3" t="s">
        <v>87</v>
      </c>
      <c r="C5" s="8">
        <v>13300000</v>
      </c>
      <c r="D5" s="8">
        <v>1590000</v>
      </c>
      <c r="E5" s="8">
        <v>11710000</v>
      </c>
    </row>
    <row r="6" spans="1:5" outlineLevel="3" x14ac:dyDescent="0.3">
      <c r="A6" s="7">
        <v>45916</v>
      </c>
      <c r="B6" s="3" t="s">
        <v>87</v>
      </c>
      <c r="C6" s="8">
        <v>15550000</v>
      </c>
      <c r="D6" s="8">
        <v>1860000</v>
      </c>
      <c r="E6" s="8">
        <v>13690000</v>
      </c>
    </row>
    <row r="7" spans="1:5" outlineLevel="3" x14ac:dyDescent="0.3">
      <c r="A7" s="7">
        <v>45919</v>
      </c>
      <c r="B7" s="3" t="s">
        <v>87</v>
      </c>
      <c r="C7" s="8">
        <v>11990000</v>
      </c>
      <c r="D7" s="8">
        <v>1430000</v>
      </c>
      <c r="E7" s="8">
        <v>10560000</v>
      </c>
    </row>
    <row r="8" spans="1:5" outlineLevel="3" x14ac:dyDescent="0.3">
      <c r="A8" s="7">
        <v>44464</v>
      </c>
      <c r="B8" s="3" t="s">
        <v>90</v>
      </c>
      <c r="C8" s="8">
        <v>15970000</v>
      </c>
      <c r="D8" s="8">
        <v>1250000</v>
      </c>
      <c r="E8" s="8">
        <v>14720000</v>
      </c>
    </row>
    <row r="9" spans="1:5" outlineLevel="2" x14ac:dyDescent="0.3">
      <c r="A9" s="7"/>
      <c r="B9" s="33" t="s">
        <v>166</v>
      </c>
      <c r="C9" s="8"/>
      <c r="D9" s="8"/>
      <c r="E9" s="8">
        <f>SUBTOTAL(1,E4:E8)</f>
        <v>12664000</v>
      </c>
    </row>
    <row r="10" spans="1:5" outlineLevel="1" x14ac:dyDescent="0.3">
      <c r="A10" s="7"/>
      <c r="B10" s="33" t="s">
        <v>162</v>
      </c>
      <c r="C10" s="8">
        <f>SUBTOTAL(9,C4:C8)</f>
        <v>71170000</v>
      </c>
      <c r="D10" s="8">
        <f>SUBTOTAL(9,D4:D8)</f>
        <v>7850000</v>
      </c>
      <c r="E10" s="8"/>
    </row>
    <row r="11" spans="1:5" outlineLevel="3" x14ac:dyDescent="0.3">
      <c r="A11" s="7">
        <v>45903</v>
      </c>
      <c r="B11" s="3" t="s">
        <v>88</v>
      </c>
      <c r="C11" s="8">
        <v>12990000</v>
      </c>
      <c r="D11" s="8">
        <v>1550000</v>
      </c>
      <c r="E11" s="8">
        <v>11440000</v>
      </c>
    </row>
    <row r="12" spans="1:5" outlineLevel="3" x14ac:dyDescent="0.3">
      <c r="A12" s="7">
        <v>45907</v>
      </c>
      <c r="B12" s="3" t="s">
        <v>88</v>
      </c>
      <c r="C12" s="8">
        <v>15000000</v>
      </c>
      <c r="D12" s="8">
        <v>1800000</v>
      </c>
      <c r="E12" s="8">
        <v>13200000</v>
      </c>
    </row>
    <row r="13" spans="1:5" outlineLevel="3" x14ac:dyDescent="0.3">
      <c r="A13" s="7">
        <v>45912</v>
      </c>
      <c r="B13" s="3" t="s">
        <v>88</v>
      </c>
      <c r="C13" s="8">
        <v>16040000</v>
      </c>
      <c r="D13" s="8">
        <v>1920000</v>
      </c>
      <c r="E13" s="8">
        <v>14120000</v>
      </c>
    </row>
    <row r="14" spans="1:5" outlineLevel="3" x14ac:dyDescent="0.3">
      <c r="A14" s="7">
        <v>45915</v>
      </c>
      <c r="B14" s="3" t="s">
        <v>88</v>
      </c>
      <c r="C14" s="8">
        <v>13680000</v>
      </c>
      <c r="D14" s="8">
        <v>1640000</v>
      </c>
      <c r="E14" s="8">
        <v>12040000</v>
      </c>
    </row>
    <row r="15" spans="1:5" outlineLevel="3" x14ac:dyDescent="0.3">
      <c r="A15" s="7">
        <v>45920</v>
      </c>
      <c r="B15" s="3" t="s">
        <v>88</v>
      </c>
      <c r="C15" s="8">
        <v>13000000</v>
      </c>
      <c r="D15" s="8">
        <v>1560000</v>
      </c>
      <c r="E15" s="8">
        <v>11440000</v>
      </c>
    </row>
    <row r="16" spans="1:5" outlineLevel="2" x14ac:dyDescent="0.3">
      <c r="A16" s="7"/>
      <c r="B16" s="33" t="s">
        <v>167</v>
      </c>
      <c r="C16" s="8"/>
      <c r="D16" s="8"/>
      <c r="E16" s="8">
        <f>SUBTOTAL(1,E11:E15)</f>
        <v>12448000</v>
      </c>
    </row>
    <row r="17" spans="1:5" outlineLevel="1" x14ac:dyDescent="0.3">
      <c r="A17" s="7"/>
      <c r="B17" s="33" t="s">
        <v>163</v>
      </c>
      <c r="C17" s="8">
        <f>SUBTOTAL(9,C11:C15)</f>
        <v>70710000</v>
      </c>
      <c r="D17" s="8">
        <f>SUBTOTAL(9,D11:D15)</f>
        <v>8470000</v>
      </c>
      <c r="E17" s="8"/>
    </row>
    <row r="18" spans="1:5" outlineLevel="3" x14ac:dyDescent="0.3">
      <c r="A18" s="7">
        <v>45901</v>
      </c>
      <c r="B18" s="3" t="s">
        <v>86</v>
      </c>
      <c r="C18" s="8">
        <v>11250000</v>
      </c>
      <c r="D18" s="8">
        <v>1350000</v>
      </c>
      <c r="E18" s="8">
        <v>9900000</v>
      </c>
    </row>
    <row r="19" spans="1:5" outlineLevel="3" x14ac:dyDescent="0.3">
      <c r="A19" s="7">
        <v>45908</v>
      </c>
      <c r="B19" s="3" t="s">
        <v>86</v>
      </c>
      <c r="C19" s="8">
        <v>12400000</v>
      </c>
      <c r="D19" s="8">
        <v>1480000</v>
      </c>
      <c r="E19" s="8">
        <v>10920000</v>
      </c>
    </row>
    <row r="20" spans="1:5" outlineLevel="3" x14ac:dyDescent="0.3">
      <c r="A20" s="7">
        <v>45911</v>
      </c>
      <c r="B20" s="3" t="s">
        <v>86</v>
      </c>
      <c r="C20" s="8">
        <v>13950000</v>
      </c>
      <c r="D20" s="8">
        <v>1670000</v>
      </c>
      <c r="E20" s="8">
        <v>12280000</v>
      </c>
    </row>
    <row r="21" spans="1:5" outlineLevel="3" x14ac:dyDescent="0.3">
      <c r="A21" s="7">
        <v>45914</v>
      </c>
      <c r="B21" s="3" t="s">
        <v>86</v>
      </c>
      <c r="C21" s="8">
        <v>14420000</v>
      </c>
      <c r="D21" s="8">
        <v>1730000</v>
      </c>
      <c r="E21" s="8">
        <v>12690000</v>
      </c>
    </row>
    <row r="22" spans="1:5" outlineLevel="3" x14ac:dyDescent="0.3">
      <c r="A22" s="7">
        <v>45922</v>
      </c>
      <c r="B22" s="12" t="s">
        <v>86</v>
      </c>
      <c r="C22" s="8">
        <v>14780000</v>
      </c>
      <c r="D22" s="8">
        <v>1770000</v>
      </c>
      <c r="E22" s="8">
        <v>13010000</v>
      </c>
    </row>
    <row r="23" spans="1:5" outlineLevel="3" x14ac:dyDescent="0.3">
      <c r="A23" s="7">
        <v>44462</v>
      </c>
      <c r="B23" s="12" t="s">
        <v>89</v>
      </c>
      <c r="C23" s="8">
        <v>13580000</v>
      </c>
      <c r="D23" s="8">
        <v>1100000</v>
      </c>
      <c r="E23" s="8">
        <v>12480000</v>
      </c>
    </row>
    <row r="24" spans="1:5" outlineLevel="2" x14ac:dyDescent="0.3">
      <c r="A24" s="34"/>
      <c r="B24" s="36" t="s">
        <v>168</v>
      </c>
      <c r="C24" s="35"/>
      <c r="D24" s="35"/>
      <c r="E24" s="35">
        <f>SUBTOTAL(1,E18:E23)</f>
        <v>11880000</v>
      </c>
    </row>
    <row r="25" spans="1:5" outlineLevel="1" x14ac:dyDescent="0.3">
      <c r="A25" s="34"/>
      <c r="B25" s="36" t="s">
        <v>164</v>
      </c>
      <c r="C25" s="35">
        <f>SUBTOTAL(9,C18:C23)</f>
        <v>80380000</v>
      </c>
      <c r="D25" s="35">
        <f>SUBTOTAL(9,D18:D23)</f>
        <v>9100000</v>
      </c>
      <c r="E25" s="35"/>
    </row>
    <row r="26" spans="1:5" x14ac:dyDescent="0.3">
      <c r="A26" s="34"/>
      <c r="B26" s="36" t="s">
        <v>169</v>
      </c>
      <c r="C26" s="35"/>
      <c r="D26" s="35"/>
      <c r="E26" s="35">
        <f>SUBTOTAL(1,E4:E23)</f>
        <v>12302500</v>
      </c>
    </row>
    <row r="27" spans="1:5" x14ac:dyDescent="0.3">
      <c r="A27" s="34"/>
      <c r="B27" s="36" t="s">
        <v>165</v>
      </c>
      <c r="C27" s="35">
        <f>SUBTOTAL(9,C4:C23)</f>
        <v>222260000</v>
      </c>
      <c r="D27" s="35">
        <f>SUBTOTAL(9,D4:D23)</f>
        <v>25420000</v>
      </c>
      <c r="E27" s="35"/>
    </row>
  </sheetData>
  <sortState xmlns:xlrd2="http://schemas.microsoft.com/office/spreadsheetml/2017/richdata2" ref="A4:E19">
    <sortCondition descending="1" ref="B3"/>
  </sortState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13"/>
  <sheetViews>
    <sheetView workbookViewId="0"/>
  </sheetViews>
  <sheetFormatPr defaultRowHeight="16.5" x14ac:dyDescent="0.3"/>
  <cols>
    <col min="1" max="1" width="37.5" bestFit="1" customWidth="1"/>
  </cols>
  <sheetData>
    <row r="1" spans="1:5" ht="20.25" x14ac:dyDescent="0.3">
      <c r="A1" s="56" t="s">
        <v>113</v>
      </c>
      <c r="B1" s="56"/>
      <c r="C1" s="56"/>
      <c r="D1" s="56"/>
      <c r="E1" s="56"/>
    </row>
    <row r="3" spans="1:5" x14ac:dyDescent="0.3">
      <c r="A3" s="3" t="s">
        <v>35</v>
      </c>
      <c r="B3" s="3" t="s">
        <v>114</v>
      </c>
      <c r="C3" s="3" t="s">
        <v>115</v>
      </c>
      <c r="D3" s="3" t="s">
        <v>116</v>
      </c>
      <c r="E3" s="3" t="s">
        <v>112</v>
      </c>
    </row>
    <row r="4" spans="1:5" x14ac:dyDescent="0.3">
      <c r="A4" s="3" t="s">
        <v>102</v>
      </c>
      <c r="B4" s="10">
        <v>6513</v>
      </c>
      <c r="C4" s="10">
        <v>3966</v>
      </c>
      <c r="D4" s="10">
        <v>3066</v>
      </c>
      <c r="E4" s="10">
        <f>AVERAGE(B4:D4)</f>
        <v>4515</v>
      </c>
    </row>
    <row r="5" spans="1:5" x14ac:dyDescent="0.3">
      <c r="A5" s="3" t="s">
        <v>103</v>
      </c>
      <c r="B5" s="10">
        <v>5363</v>
      </c>
      <c r="C5" s="10">
        <v>3853</v>
      </c>
      <c r="D5" s="10">
        <v>3567</v>
      </c>
      <c r="E5" s="10">
        <f t="shared" ref="E5:E13" si="0">AVERAGE(B5:D5)</f>
        <v>4261</v>
      </c>
    </row>
    <row r="6" spans="1:5" x14ac:dyDescent="0.3">
      <c r="A6" s="3" t="s">
        <v>104</v>
      </c>
      <c r="B6" s="10">
        <v>3538</v>
      </c>
      <c r="C6" s="10">
        <v>3361</v>
      </c>
      <c r="D6" s="10">
        <v>3679</v>
      </c>
      <c r="E6" s="10">
        <f t="shared" si="0"/>
        <v>3526</v>
      </c>
    </row>
    <row r="7" spans="1:5" x14ac:dyDescent="0.3">
      <c r="A7" s="3" t="s">
        <v>105</v>
      </c>
      <c r="B7" s="10">
        <v>3013</v>
      </c>
      <c r="C7" s="10">
        <v>3586</v>
      </c>
      <c r="D7" s="10">
        <v>3863</v>
      </c>
      <c r="E7" s="10">
        <f t="shared" si="0"/>
        <v>3487.3333333333335</v>
      </c>
    </row>
    <row r="8" spans="1:5" x14ac:dyDescent="0.3">
      <c r="A8" s="3" t="s">
        <v>106</v>
      </c>
      <c r="B8" s="10">
        <v>6150</v>
      </c>
      <c r="C8" s="10">
        <v>3576</v>
      </c>
      <c r="D8" s="10">
        <v>3369</v>
      </c>
      <c r="E8" s="10">
        <f t="shared" si="0"/>
        <v>4365</v>
      </c>
    </row>
    <row r="9" spans="1:5" x14ac:dyDescent="0.3">
      <c r="A9" s="3" t="s">
        <v>107</v>
      </c>
      <c r="B9" s="10">
        <v>5636</v>
      </c>
      <c r="C9" s="10">
        <v>5933</v>
      </c>
      <c r="D9" s="10">
        <v>5768</v>
      </c>
      <c r="E9" s="10">
        <f t="shared" si="0"/>
        <v>5779</v>
      </c>
    </row>
    <row r="10" spans="1:5" x14ac:dyDescent="0.3">
      <c r="A10" s="3" t="s">
        <v>108</v>
      </c>
      <c r="B10" s="10">
        <v>3555</v>
      </c>
      <c r="C10" s="10">
        <v>3837</v>
      </c>
      <c r="D10" s="10">
        <v>3061</v>
      </c>
      <c r="E10" s="10">
        <f t="shared" si="0"/>
        <v>3484.3333333333335</v>
      </c>
    </row>
    <row r="11" spans="1:5" x14ac:dyDescent="0.3">
      <c r="A11" s="3" t="s">
        <v>109</v>
      </c>
      <c r="B11" s="10">
        <v>3653</v>
      </c>
      <c r="C11" s="10">
        <v>3113</v>
      </c>
      <c r="D11" s="10">
        <v>3659</v>
      </c>
      <c r="E11" s="10">
        <f t="shared" si="0"/>
        <v>3475</v>
      </c>
    </row>
    <row r="12" spans="1:5" x14ac:dyDescent="0.3">
      <c r="A12" s="3" t="s">
        <v>110</v>
      </c>
      <c r="B12" s="10">
        <v>5350</v>
      </c>
      <c r="C12" s="10">
        <v>5839</v>
      </c>
      <c r="D12" s="10">
        <v>5676</v>
      </c>
      <c r="E12" s="10">
        <f t="shared" si="0"/>
        <v>5621.666666666667</v>
      </c>
    </row>
    <row r="13" spans="1:5" x14ac:dyDescent="0.3">
      <c r="A13" s="5" t="s">
        <v>111</v>
      </c>
      <c r="B13" s="10">
        <v>1680</v>
      </c>
      <c r="C13" s="10">
        <v>5360</v>
      </c>
      <c r="D13" s="10">
        <v>3831</v>
      </c>
      <c r="E13" s="10">
        <f t="shared" si="0"/>
        <v>3623.6666666666665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평균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9"/>
  <sheetViews>
    <sheetView workbookViewId="0"/>
  </sheetViews>
  <sheetFormatPr defaultRowHeight="16.5" x14ac:dyDescent="0.3"/>
  <cols>
    <col min="4" max="4" width="10.5" bestFit="1" customWidth="1"/>
  </cols>
  <sheetData>
    <row r="1" spans="1:6" ht="20.25" x14ac:dyDescent="0.3">
      <c r="A1" s="56" t="s">
        <v>117</v>
      </c>
      <c r="B1" s="56"/>
      <c r="C1" s="56"/>
      <c r="D1" s="56"/>
      <c r="E1" s="56"/>
      <c r="F1" s="56"/>
    </row>
    <row r="3" spans="1:6" x14ac:dyDescent="0.3">
      <c r="A3" s="14" t="s">
        <v>118</v>
      </c>
      <c r="B3" s="15" t="s">
        <v>119</v>
      </c>
      <c r="C3" s="15" t="s">
        <v>120</v>
      </c>
      <c r="D3" s="15" t="s">
        <v>121</v>
      </c>
      <c r="E3" s="15" t="s">
        <v>122</v>
      </c>
      <c r="F3" s="15" t="s">
        <v>123</v>
      </c>
    </row>
    <row r="4" spans="1:6" x14ac:dyDescent="0.3">
      <c r="A4" s="12" t="s">
        <v>124</v>
      </c>
      <c r="B4" s="12">
        <v>24</v>
      </c>
      <c r="C4" s="12">
        <v>18</v>
      </c>
      <c r="D4" s="12">
        <v>20</v>
      </c>
      <c r="E4" s="12">
        <v>21</v>
      </c>
      <c r="F4" s="12">
        <f>SUM(B4:E4)</f>
        <v>83</v>
      </c>
    </row>
    <row r="5" spans="1:6" x14ac:dyDescent="0.3">
      <c r="A5" s="12" t="s">
        <v>125</v>
      </c>
      <c r="B5" s="12">
        <v>18</v>
      </c>
      <c r="C5" s="12">
        <v>18</v>
      </c>
      <c r="D5" s="12">
        <v>17</v>
      </c>
      <c r="E5" s="12">
        <v>17</v>
      </c>
      <c r="F5" s="12">
        <f t="shared" ref="F5:F9" si="0">SUM(B5:E5)</f>
        <v>70</v>
      </c>
    </row>
    <row r="6" spans="1:6" x14ac:dyDescent="0.3">
      <c r="A6" s="12" t="s">
        <v>126</v>
      </c>
      <c r="B6" s="12">
        <v>23</v>
      </c>
      <c r="C6" s="12">
        <v>20</v>
      </c>
      <c r="D6" s="12">
        <v>13</v>
      </c>
      <c r="E6" s="12">
        <v>16</v>
      </c>
      <c r="F6" s="12">
        <f t="shared" si="0"/>
        <v>72</v>
      </c>
    </row>
    <row r="7" spans="1:6" x14ac:dyDescent="0.3">
      <c r="A7" s="12" t="s">
        <v>127</v>
      </c>
      <c r="B7" s="12">
        <v>21</v>
      </c>
      <c r="C7" s="12">
        <v>17</v>
      </c>
      <c r="D7" s="12">
        <v>21</v>
      </c>
      <c r="E7" s="12">
        <v>18</v>
      </c>
      <c r="F7" s="12">
        <f t="shared" si="0"/>
        <v>77</v>
      </c>
    </row>
    <row r="8" spans="1:6" x14ac:dyDescent="0.3">
      <c r="A8" s="12" t="s">
        <v>128</v>
      </c>
      <c r="B8" s="12">
        <v>17</v>
      </c>
      <c r="C8" s="12">
        <v>9</v>
      </c>
      <c r="D8" s="12">
        <v>8</v>
      </c>
      <c r="E8" s="12">
        <v>11</v>
      </c>
      <c r="F8" s="12">
        <f t="shared" si="0"/>
        <v>45</v>
      </c>
    </row>
    <row r="9" spans="1:6" x14ac:dyDescent="0.3">
      <c r="A9" s="12" t="s">
        <v>129</v>
      </c>
      <c r="B9" s="12">
        <v>20</v>
      </c>
      <c r="C9" s="12">
        <v>8</v>
      </c>
      <c r="D9" s="12">
        <v>7</v>
      </c>
      <c r="E9" s="12">
        <v>20</v>
      </c>
      <c r="F9" s="12">
        <f t="shared" si="0"/>
        <v>55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순이익율</vt:lpstr>
      <vt:lpstr>순이익합계</vt:lpstr>
      <vt:lpstr>'기본작업-3'!채용결과발표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2024-01-17T11:42:06Z</dcterms:modified>
</cp:coreProperties>
</file>