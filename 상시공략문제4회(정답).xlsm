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D724879D-A649-4868-A89B-925F53C8CEC9}" xr6:coauthVersionLast="47" xr6:coauthVersionMax="47" xr10:uidLastSave="{00000000-0000-0000-0000-000000000000}"/>
  <bookViews>
    <workbookView xWindow="4935" yWindow="975" windowWidth="17310" windowHeight="1422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9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4" l="1" a="1"/>
  <c r="K4" i="4"/>
  <c r="K5" i="4" a="1"/>
  <c r="K5" i="4"/>
  <c r="K6" i="4" a="1"/>
  <c r="K6" i="4" s="1"/>
  <c r="K7" i="4" a="1"/>
  <c r="K7" i="4" s="1"/>
  <c r="K8" i="4" a="1"/>
  <c r="K8" i="4" s="1"/>
  <c r="K9" i="4" a="1"/>
  <c r="K9" i="4" s="1"/>
  <c r="K10" i="4" a="1"/>
  <c r="K10" i="4" s="1"/>
  <c r="K3" i="4" a="1"/>
  <c r="K3" i="4" s="1"/>
  <c r="D39" i="4"/>
  <c r="D38" i="4"/>
  <c r="D37" i="4"/>
  <c r="D36" i="4"/>
  <c r="D35" i="4"/>
  <c r="D34" i="4"/>
  <c r="D33" i="4"/>
  <c r="D32" i="4"/>
  <c r="D31" i="4"/>
  <c r="D30" i="4"/>
  <c r="J24" i="4"/>
  <c r="E17" i="4"/>
  <c r="E13" i="4"/>
  <c r="G5" i="7" l="1"/>
  <c r="G6" i="7"/>
  <c r="G7" i="7"/>
  <c r="G8" i="7"/>
  <c r="G9" i="7"/>
  <c r="G10" i="7"/>
  <c r="G11" i="7"/>
  <c r="G12" i="7"/>
  <c r="G13" i="7"/>
  <c r="G14" i="7"/>
  <c r="G15" i="7"/>
  <c r="G4" i="7"/>
  <c r="B6" i="6" l="1"/>
  <c r="B5" i="6"/>
  <c r="B7" i="6" s="1"/>
  <c r="B10" i="6" l="1"/>
  <c r="E4" i="6" s="1"/>
  <c r="C7" i="8"/>
  <c r="C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9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판매량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<sst xmlns="http://schemas.openxmlformats.org/spreadsheetml/2006/main" count="393" uniqueCount="335">
  <si>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</si>
  <si>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</si>
  <si>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</si>
  <si>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</si>
  <si>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</si>
  <si>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</si>
  <si>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</si>
  <si>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</si>
  <si>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ID번호</t>
  </si>
  <si>
    <t>성명</t>
  </si>
  <si>
    <t>교육차수</t>
  </si>
  <si>
    <t>인공지능</t>
  </si>
  <si>
    <t>빅데이터분석</t>
  </si>
  <si>
    <t>로봇공학</t>
  </si>
  <si>
    <t>사물인터넷</t>
  </si>
  <si>
    <t>3D프린팅</t>
  </si>
  <si>
    <t>A0145</t>
  </si>
  <si>
    <t>김서연</t>
  </si>
  <si>
    <t>B0256</t>
  </si>
  <si>
    <t>정정희</t>
  </si>
  <si>
    <t>D0489</t>
  </si>
  <si>
    <t>강주미</t>
  </si>
  <si>
    <t>A0134</t>
  </si>
  <si>
    <t>고인철</t>
  </si>
  <si>
    <t>C0317</t>
  </si>
  <si>
    <t>최우빈</t>
  </si>
  <si>
    <t>C0364</t>
  </si>
  <si>
    <t>박사랑</t>
  </si>
  <si>
    <t>E0535</t>
  </si>
  <si>
    <t>지연우</t>
  </si>
  <si>
    <t>A0154</t>
  </si>
  <si>
    <t>소희진</t>
  </si>
  <si>
    <t>C0374</t>
  </si>
  <si>
    <t>조병헌</t>
  </si>
  <si>
    <t>D0428</t>
  </si>
  <si>
    <t>윤병동</t>
  </si>
  <si>
    <t>A0164</t>
  </si>
  <si>
    <t>변순용</t>
  </si>
  <si>
    <t>E0568</t>
  </si>
  <si>
    <t>이지혜</t>
  </si>
  <si>
    <t>B0288</t>
  </si>
  <si>
    <t>권영수</t>
  </si>
  <si>
    <t>A0141</t>
  </si>
  <si>
    <t>허재두</t>
  </si>
  <si>
    <t>C0321</t>
  </si>
  <si>
    <t>류미영</t>
  </si>
  <si>
    <t>B0219</t>
  </si>
  <si>
    <t>최헌준</t>
  </si>
  <si>
    <t>D0439</t>
  </si>
  <si>
    <t>송영미</t>
  </si>
  <si>
    <t>판매단가</t>
    <phoneticPr fontId="1" type="noConversion"/>
  </si>
  <si>
    <t>판매수량</t>
    <phoneticPr fontId="1" type="noConversion"/>
  </si>
  <si>
    <t>매출액</t>
    <phoneticPr fontId="1" type="noConversion"/>
  </si>
  <si>
    <t>판매단가</t>
    <phoneticPr fontId="1" type="noConversion"/>
  </si>
  <si>
    <t>판매원가</t>
    <phoneticPr fontId="1" type="noConversion"/>
  </si>
  <si>
    <t>세금</t>
    <phoneticPr fontId="4" type="noConversion"/>
  </si>
  <si>
    <t>인건비</t>
    <phoneticPr fontId="1" type="noConversion"/>
  </si>
  <si>
    <t>임대료</t>
    <phoneticPr fontId="1" type="noConversion"/>
  </si>
  <si>
    <t>판매수익</t>
    <phoneticPr fontId="1" type="noConversion"/>
  </si>
  <si>
    <t>상공 고객관리 현황</t>
    <phoneticPr fontId="1" type="noConversion"/>
  </si>
  <si>
    <t>이름</t>
  </si>
  <si>
    <t>연락처</t>
    <phoneticPr fontId="5" type="noConversion"/>
  </si>
  <si>
    <t>010-1652-5820</t>
    <phoneticPr fontId="5" type="noConversion"/>
  </si>
  <si>
    <t>010-9318-3158</t>
    <phoneticPr fontId="5" type="noConversion"/>
  </si>
  <si>
    <t>010-5584-9475</t>
    <phoneticPr fontId="5" type="noConversion"/>
  </si>
  <si>
    <t>010-1235-8521</t>
    <phoneticPr fontId="5" type="noConversion"/>
  </si>
  <si>
    <t>010-9238-5429</t>
    <phoneticPr fontId="5" type="noConversion"/>
  </si>
  <si>
    <t>010-5375-8022</t>
    <phoneticPr fontId="1" type="noConversion"/>
  </si>
  <si>
    <t>010-3750-1212</t>
    <phoneticPr fontId="1" type="noConversion"/>
  </si>
  <si>
    <t>박성진</t>
    <phoneticPr fontId="1" type="noConversion"/>
  </si>
  <si>
    <t>010-9132-5781</t>
    <phoneticPr fontId="1" type="noConversion"/>
  </si>
  <si>
    <t>아이디</t>
    <phoneticPr fontId="5" type="noConversion"/>
  </si>
  <si>
    <t>주민등록번호</t>
    <phoneticPr fontId="1" type="noConversion"/>
  </si>
  <si>
    <t>950810-2******</t>
    <phoneticPr fontId="1" type="noConversion"/>
  </si>
  <si>
    <t>941101-1******</t>
  </si>
  <si>
    <t>961205-1******</t>
  </si>
  <si>
    <t>921025-1******</t>
  </si>
  <si>
    <t>950526-2******</t>
  </si>
  <si>
    <t>950204-2******</t>
  </si>
  <si>
    <t>930825-2******</t>
    <phoneticPr fontId="1" type="noConversion"/>
  </si>
  <si>
    <t>921209-1******</t>
    <phoneticPr fontId="1" type="noConversion"/>
  </si>
  <si>
    <t>정소라</t>
    <phoneticPr fontId="1" type="noConversion"/>
  </si>
  <si>
    <t>이구민</t>
  </si>
  <si>
    <t>박수진</t>
  </si>
  <si>
    <t>강미옥</t>
  </si>
  <si>
    <t>김남수</t>
  </si>
  <si>
    <t>한아름</t>
  </si>
  <si>
    <t>민가옥</t>
  </si>
  <si>
    <t>주소</t>
    <phoneticPr fontId="1" type="noConversion"/>
  </si>
  <si>
    <t>종로구</t>
    <phoneticPr fontId="1" type="noConversion"/>
  </si>
  <si>
    <t>강남구</t>
    <phoneticPr fontId="1" type="noConversion"/>
  </si>
  <si>
    <t>서초구</t>
    <phoneticPr fontId="1" type="noConversion"/>
  </si>
  <si>
    <t>용산구</t>
    <phoneticPr fontId="1" type="noConversion"/>
  </si>
  <si>
    <t>관악구</t>
    <phoneticPr fontId="1" type="noConversion"/>
  </si>
  <si>
    <t>강서구</t>
    <phoneticPr fontId="1" type="noConversion"/>
  </si>
  <si>
    <t>도봉구</t>
    <phoneticPr fontId="1" type="noConversion"/>
  </si>
  <si>
    <t>마포구</t>
    <phoneticPr fontId="1" type="noConversion"/>
  </si>
  <si>
    <t>가입일자</t>
    <phoneticPr fontId="5" type="noConversion"/>
  </si>
  <si>
    <t>응시번호</t>
    <phoneticPr fontId="1" type="noConversion"/>
  </si>
  <si>
    <t>합계</t>
    <phoneticPr fontId="1" type="noConversion"/>
  </si>
  <si>
    <t>이름</t>
    <phoneticPr fontId="1" type="noConversion"/>
  </si>
  <si>
    <t>강민주</t>
    <phoneticPr fontId="1" type="noConversion"/>
  </si>
  <si>
    <t>김봉수</t>
    <phoneticPr fontId="1" type="noConversion"/>
  </si>
  <si>
    <t>류대수</t>
    <phoneticPr fontId="1" type="noConversion"/>
  </si>
  <si>
    <t>박승태</t>
    <phoneticPr fontId="1" type="noConversion"/>
  </si>
  <si>
    <t>박송이</t>
    <phoneticPr fontId="1" type="noConversion"/>
  </si>
  <si>
    <t>이상현</t>
    <phoneticPr fontId="1" type="noConversion"/>
  </si>
  <si>
    <t>하나윤</t>
    <phoneticPr fontId="1" type="noConversion"/>
  </si>
  <si>
    <t>민호성</t>
    <phoneticPr fontId="1" type="noConversion"/>
  </si>
  <si>
    <t>김윤하</t>
    <phoneticPr fontId="1" type="noConversion"/>
  </si>
  <si>
    <t>김재연</t>
    <phoneticPr fontId="1" type="noConversion"/>
  </si>
  <si>
    <t>박성진</t>
    <phoneticPr fontId="1" type="noConversion"/>
  </si>
  <si>
    <t>이도원</t>
    <phoneticPr fontId="1" type="noConversion"/>
  </si>
  <si>
    <t>면접</t>
    <phoneticPr fontId="1" type="noConversion"/>
  </si>
  <si>
    <t>신입사원 채용 평가 점수</t>
    <phoneticPr fontId="1" type="noConversion"/>
  </si>
  <si>
    <t>필기</t>
    <phoneticPr fontId="1" type="noConversion"/>
  </si>
  <si>
    <t>서류전형</t>
    <phoneticPr fontId="1" type="noConversion"/>
  </si>
  <si>
    <t>실무전형</t>
    <phoneticPr fontId="1" type="noConversion"/>
  </si>
  <si>
    <t>제품명</t>
  </si>
  <si>
    <t>판매수량</t>
  </si>
  <si>
    <t>판매금액</t>
  </si>
  <si>
    <t>테니스화</t>
    <phoneticPr fontId="1" type="noConversion"/>
  </si>
  <si>
    <t>테니스라켓</t>
    <phoneticPr fontId="1" type="noConversion"/>
  </si>
  <si>
    <t>테니스공(36캔)</t>
    <phoneticPr fontId="1" type="noConversion"/>
  </si>
  <si>
    <t>테니스 가방</t>
    <phoneticPr fontId="1" type="noConversion"/>
  </si>
  <si>
    <t>[표1] 4월 판매내역</t>
    <phoneticPr fontId="1" type="noConversion"/>
  </si>
  <si>
    <t>[표2] 5월 판매내역</t>
    <phoneticPr fontId="1" type="noConversion"/>
  </si>
  <si>
    <t>[표3] 6월 판매내역</t>
    <phoneticPr fontId="1" type="noConversion"/>
  </si>
  <si>
    <t>테니스공(12캔)</t>
    <phoneticPr fontId="1" type="noConversion"/>
  </si>
  <si>
    <t>그립</t>
    <phoneticPr fontId="1" type="noConversion"/>
  </si>
  <si>
    <t>테니스 스커트</t>
    <phoneticPr fontId="1" type="noConversion"/>
  </si>
  <si>
    <t>테니스 가방</t>
    <phoneticPr fontId="1" type="noConversion"/>
  </si>
  <si>
    <t>제품코드</t>
    <phoneticPr fontId="1" type="noConversion"/>
  </si>
  <si>
    <t>구분</t>
    <phoneticPr fontId="1" type="noConversion"/>
  </si>
  <si>
    <t>제품명</t>
    <phoneticPr fontId="1" type="noConversion"/>
  </si>
  <si>
    <t>내용량</t>
    <phoneticPr fontId="1" type="noConversion"/>
  </si>
  <si>
    <t>가격</t>
    <phoneticPr fontId="1" type="noConversion"/>
  </si>
  <si>
    <t>판매수량</t>
    <phoneticPr fontId="1" type="noConversion"/>
  </si>
  <si>
    <t>기초영양</t>
    <phoneticPr fontId="1" type="noConversion"/>
  </si>
  <si>
    <t>데일리츄어블</t>
    <phoneticPr fontId="1" type="noConversion"/>
  </si>
  <si>
    <t>푸로틴</t>
    <phoneticPr fontId="1" type="noConversion"/>
  </si>
  <si>
    <t>아세로라 C</t>
    <phoneticPr fontId="1" type="noConversion"/>
  </si>
  <si>
    <t>100정</t>
    <phoneticPr fontId="1" type="noConversion"/>
  </si>
  <si>
    <t>밸런스 위드인</t>
    <phoneticPr fontId="1" type="noConversion"/>
  </si>
  <si>
    <t>30포</t>
    <phoneticPr fontId="1" type="noConversion"/>
  </si>
  <si>
    <t>120정</t>
    <phoneticPr fontId="1" type="noConversion"/>
  </si>
  <si>
    <t>1일 2회, 1회 2정</t>
    <phoneticPr fontId="1" type="noConversion"/>
  </si>
  <si>
    <t>1일 2회, 1회 300cc</t>
    <phoneticPr fontId="1" type="noConversion"/>
  </si>
  <si>
    <t>450g</t>
    <phoneticPr fontId="1" type="noConversion"/>
  </si>
  <si>
    <t>1일 3회, 1회 1정</t>
    <phoneticPr fontId="1" type="noConversion"/>
  </si>
  <si>
    <t>1일 1회, 1회 1포</t>
    <phoneticPr fontId="1" type="noConversion"/>
  </si>
  <si>
    <t>기능성</t>
    <phoneticPr fontId="1" type="noConversion"/>
  </si>
  <si>
    <t>오메가 3</t>
    <phoneticPr fontId="1" type="noConversion"/>
  </si>
  <si>
    <t>루바블렌드</t>
    <phoneticPr fontId="1" type="noConversion"/>
  </si>
  <si>
    <t>30정</t>
    <phoneticPr fontId="1" type="noConversion"/>
  </si>
  <si>
    <t>1일 1회, 1회 1정</t>
    <phoneticPr fontId="1" type="noConversion"/>
  </si>
  <si>
    <t>쏘팔메토 블렌드</t>
    <phoneticPr fontId="1" type="noConversion"/>
  </si>
  <si>
    <t>90캡슐</t>
    <phoneticPr fontId="1" type="noConversion"/>
  </si>
  <si>
    <t>1일 3회, 1회 1캡슐</t>
    <phoneticPr fontId="1" type="noConversion"/>
  </si>
  <si>
    <t>코큐텐</t>
    <phoneticPr fontId="1" type="noConversion"/>
  </si>
  <si>
    <t>90캡슐</t>
    <phoneticPr fontId="1" type="noConversion"/>
  </si>
  <si>
    <t>1일 3회, 1회 1캡슐</t>
    <phoneticPr fontId="1" type="noConversion"/>
  </si>
  <si>
    <t>90캡슐</t>
    <phoneticPr fontId="1" type="noConversion"/>
  </si>
  <si>
    <t>1일 2회, 1회 2캡슐</t>
    <phoneticPr fontId="1" type="noConversion"/>
  </si>
  <si>
    <t>A4298K</t>
    <phoneticPr fontId="1" type="noConversion"/>
  </si>
  <si>
    <t>299632K</t>
    <phoneticPr fontId="1" type="noConversion"/>
  </si>
  <si>
    <t>106093K</t>
    <phoneticPr fontId="1" type="noConversion"/>
  </si>
  <si>
    <t>105684K</t>
    <phoneticPr fontId="1" type="noConversion"/>
  </si>
  <si>
    <t>B2654C</t>
    <phoneticPr fontId="1" type="noConversion"/>
  </si>
  <si>
    <t>D85962C</t>
    <phoneticPr fontId="1" type="noConversion"/>
  </si>
  <si>
    <t>E1586C</t>
    <phoneticPr fontId="1" type="noConversion"/>
  </si>
  <si>
    <t>H2586C</t>
    <phoneticPr fontId="1" type="noConversion"/>
  </si>
  <si>
    <t>이스티 비</t>
    <phoneticPr fontId="1" type="noConversion"/>
  </si>
  <si>
    <t>85정</t>
    <phoneticPr fontId="1" type="noConversion"/>
  </si>
  <si>
    <t>A4450K</t>
    <phoneticPr fontId="1" type="noConversion"/>
  </si>
  <si>
    <t>1일 3회, 1회 1정</t>
    <phoneticPr fontId="1" type="noConversion"/>
  </si>
  <si>
    <t>F옥타코사놀</t>
    <phoneticPr fontId="1" type="noConversion"/>
  </si>
  <si>
    <t>60캡슐</t>
    <phoneticPr fontId="1" type="noConversion"/>
  </si>
  <si>
    <t>1일 2회, 1회 1캡슐</t>
    <phoneticPr fontId="1" type="noConversion"/>
  </si>
  <si>
    <t>101800K</t>
    <phoneticPr fontId="1" type="noConversion"/>
  </si>
  <si>
    <t>건강보조식품 판매 현황</t>
    <phoneticPr fontId="1" type="noConversion"/>
  </si>
  <si>
    <t>jsr123</t>
    <phoneticPr fontId="5" type="noConversion"/>
  </si>
  <si>
    <t>lgm876</t>
    <phoneticPr fontId="1" type="noConversion"/>
  </si>
  <si>
    <t>psj587</t>
    <phoneticPr fontId="1" type="noConversion"/>
  </si>
  <si>
    <t>gmh653</t>
    <phoneticPr fontId="5" type="noConversion"/>
  </si>
  <si>
    <t>kns754</t>
    <phoneticPr fontId="1" type="noConversion"/>
  </si>
  <si>
    <t>hom178</t>
    <phoneticPr fontId="5" type="noConversion"/>
  </si>
  <si>
    <t>mgh654</t>
    <phoneticPr fontId="5" type="noConversion"/>
  </si>
  <si>
    <t>psung158</t>
    <phoneticPr fontId="5" type="noConversion"/>
  </si>
  <si>
    <t>과목별 성적 처리</t>
    <phoneticPr fontId="1" type="noConversion"/>
  </si>
  <si>
    <t>브랜드명</t>
    <phoneticPr fontId="1" type="noConversion"/>
  </si>
  <si>
    <t>윌슨</t>
    <phoneticPr fontId="1" type="noConversion"/>
  </si>
  <si>
    <t>프린스</t>
    <phoneticPr fontId="1" type="noConversion"/>
  </si>
  <si>
    <t>헤드</t>
    <phoneticPr fontId="1" type="noConversion"/>
  </si>
  <si>
    <t>윌슨</t>
    <phoneticPr fontId="1" type="noConversion"/>
  </si>
  <si>
    <t>휠라</t>
    <phoneticPr fontId="1" type="noConversion"/>
  </si>
  <si>
    <t>윌슨</t>
    <phoneticPr fontId="1" type="noConversion"/>
  </si>
  <si>
    <t>나이키</t>
    <phoneticPr fontId="1" type="noConversion"/>
  </si>
  <si>
    <t>브랜드명</t>
    <phoneticPr fontId="1" type="noConversion"/>
  </si>
  <si>
    <t>아식스</t>
    <phoneticPr fontId="1" type="noConversion"/>
  </si>
  <si>
    <t>아디다스</t>
    <phoneticPr fontId="1" type="noConversion"/>
  </si>
  <si>
    <t>스타</t>
    <phoneticPr fontId="1" type="noConversion"/>
  </si>
  <si>
    <t>나이키</t>
    <phoneticPr fontId="1" type="noConversion"/>
  </si>
  <si>
    <t>테니스화</t>
  </si>
  <si>
    <t>테니스라켓</t>
  </si>
  <si>
    <t>테니스공(36캔)</t>
  </si>
  <si>
    <t>테니스 스커트</t>
  </si>
  <si>
    <t>테니스 가방</t>
  </si>
  <si>
    <t>테니스공(12캔)</t>
  </si>
  <si>
    <t>그립</t>
  </si>
  <si>
    <t>카페 10월 판매수익</t>
    <phoneticPr fontId="1" type="noConversion"/>
  </si>
  <si>
    <t>판매단가와 판매수량 변동에 따른 판매수익 계산</t>
    <phoneticPr fontId="1" type="noConversion"/>
  </si>
  <si>
    <t>[표4] 2분기 판매내역</t>
    <phoneticPr fontId="1" type="noConversion"/>
  </si>
  <si>
    <t>가전제품 판매현황</t>
    <phoneticPr fontId="1" type="noConversion"/>
  </si>
  <si>
    <t>연말 인센티브 현황</t>
    <phoneticPr fontId="1" type="noConversion"/>
  </si>
  <si>
    <t>지원서 접수현황</t>
    <phoneticPr fontId="1" type="noConversion"/>
  </si>
  <si>
    <t>성명</t>
    <phoneticPr fontId="1" type="noConversion"/>
  </si>
  <si>
    <t>성별</t>
    <phoneticPr fontId="1" type="noConversion"/>
  </si>
  <si>
    <t>직책</t>
    <phoneticPr fontId="1" type="noConversion"/>
  </si>
  <si>
    <t>성과등급</t>
    <phoneticPr fontId="1" type="noConversion"/>
  </si>
  <si>
    <t>인센티브</t>
    <phoneticPr fontId="1" type="noConversion"/>
  </si>
  <si>
    <t>접수일자</t>
    <phoneticPr fontId="1" type="noConversion"/>
  </si>
  <si>
    <t>지역</t>
    <phoneticPr fontId="1" type="noConversion"/>
  </si>
  <si>
    <t>졸업학교</t>
    <phoneticPr fontId="1" type="noConversion"/>
  </si>
  <si>
    <t>수험생명</t>
    <phoneticPr fontId="1" type="noConversion"/>
  </si>
  <si>
    <t>비고</t>
    <phoneticPr fontId="1" type="noConversion"/>
  </si>
  <si>
    <t>최은영</t>
    <phoneticPr fontId="16" type="noConversion"/>
  </si>
  <si>
    <t>여</t>
    <phoneticPr fontId="1" type="noConversion"/>
  </si>
  <si>
    <t>점장</t>
    <phoneticPr fontId="1" type="noConversion"/>
  </si>
  <si>
    <t>S</t>
    <phoneticPr fontId="1" type="noConversion"/>
  </si>
  <si>
    <t>제주</t>
    <phoneticPr fontId="1" type="noConversion"/>
  </si>
  <si>
    <t>미성고</t>
    <phoneticPr fontId="1" type="noConversion"/>
  </si>
  <si>
    <t>임지훈</t>
    <phoneticPr fontId="16" type="noConversion"/>
  </si>
  <si>
    <t>김성철</t>
    <phoneticPr fontId="16" type="noConversion"/>
  </si>
  <si>
    <t>남</t>
    <phoneticPr fontId="1" type="noConversion"/>
  </si>
  <si>
    <t>매니저</t>
    <phoneticPr fontId="1" type="noConversion"/>
  </si>
  <si>
    <t>A</t>
    <phoneticPr fontId="1" type="noConversion"/>
  </si>
  <si>
    <t>서울</t>
    <phoneticPr fontId="1" type="noConversion"/>
  </si>
  <si>
    <t>제일여고</t>
    <phoneticPr fontId="1" type="noConversion"/>
  </si>
  <si>
    <t>원영만</t>
    <phoneticPr fontId="16" type="noConversion"/>
  </si>
  <si>
    <t>김진혁</t>
    <phoneticPr fontId="16" type="noConversion"/>
  </si>
  <si>
    <t>S</t>
    <phoneticPr fontId="1" type="noConversion"/>
  </si>
  <si>
    <t>창원</t>
    <phoneticPr fontId="1" type="noConversion"/>
  </si>
  <si>
    <t>상록고</t>
    <phoneticPr fontId="1" type="noConversion"/>
  </si>
  <si>
    <t>도지원</t>
    <phoneticPr fontId="16" type="noConversion"/>
  </si>
  <si>
    <t>이진아</t>
    <phoneticPr fontId="16" type="noConversion"/>
  </si>
  <si>
    <t>여</t>
    <phoneticPr fontId="1" type="noConversion"/>
  </si>
  <si>
    <t>매니저</t>
    <phoneticPr fontId="1" type="noConversion"/>
  </si>
  <si>
    <t>울산</t>
    <phoneticPr fontId="1" type="noConversion"/>
  </si>
  <si>
    <t>한성고</t>
    <phoneticPr fontId="1" type="noConversion"/>
  </si>
  <si>
    <t>감주영</t>
    <phoneticPr fontId="16" type="noConversion"/>
  </si>
  <si>
    <t>진성우</t>
    <phoneticPr fontId="16" type="noConversion"/>
  </si>
  <si>
    <t>매니저</t>
    <phoneticPr fontId="1" type="noConversion"/>
  </si>
  <si>
    <t>B</t>
    <phoneticPr fontId="1" type="noConversion"/>
  </si>
  <si>
    <t>대구</t>
    <phoneticPr fontId="1" type="noConversion"/>
  </si>
  <si>
    <t>장홍고</t>
    <phoneticPr fontId="1" type="noConversion"/>
  </si>
  <si>
    <t>남정민</t>
    <phoneticPr fontId="16" type="noConversion"/>
  </si>
  <si>
    <t>이민우</t>
    <phoneticPr fontId="16" type="noConversion"/>
  </si>
  <si>
    <t>남</t>
    <phoneticPr fontId="1" type="noConversion"/>
  </si>
  <si>
    <t>점장</t>
    <phoneticPr fontId="1" type="noConversion"/>
  </si>
  <si>
    <t>A</t>
    <phoneticPr fontId="1" type="noConversion"/>
  </si>
  <si>
    <t>인천</t>
    <phoneticPr fontId="1" type="noConversion"/>
  </si>
  <si>
    <t>다산고</t>
    <phoneticPr fontId="1" type="noConversion"/>
  </si>
  <si>
    <t>임철수</t>
    <phoneticPr fontId="16" type="noConversion"/>
  </si>
  <si>
    <t>김철민</t>
    <phoneticPr fontId="16" type="noConversion"/>
  </si>
  <si>
    <t>광주</t>
    <phoneticPr fontId="1" type="noConversion"/>
  </si>
  <si>
    <t>여산고</t>
    <phoneticPr fontId="1" type="noConversion"/>
  </si>
  <si>
    <t>오성환</t>
    <phoneticPr fontId="16" type="noConversion"/>
  </si>
  <si>
    <t>박사랑</t>
    <phoneticPr fontId="16" type="noConversion"/>
  </si>
  <si>
    <t>여</t>
    <phoneticPr fontId="1" type="noConversion"/>
  </si>
  <si>
    <t>창덕고</t>
    <phoneticPr fontId="1" type="noConversion"/>
  </si>
  <si>
    <t>정철환</t>
    <phoneticPr fontId="16" type="noConversion"/>
  </si>
  <si>
    <t>김봉수</t>
    <phoneticPr fontId="16" type="noConversion"/>
  </si>
  <si>
    <t>남</t>
    <phoneticPr fontId="1" type="noConversion"/>
  </si>
  <si>
    <t>B</t>
    <phoneticPr fontId="1" type="noConversion"/>
  </si>
  <si>
    <t>최서은</t>
    <phoneticPr fontId="16" type="noConversion"/>
  </si>
  <si>
    <t>여</t>
    <phoneticPr fontId="1" type="noConversion"/>
  </si>
  <si>
    <t>직책이 매니저인 여직원 인센티브 평균</t>
    <phoneticPr fontId="1" type="noConversion"/>
  </si>
  <si>
    <t>면접시험 응시현황</t>
    <phoneticPr fontId="1" type="noConversion"/>
  </si>
  <si>
    <t>시즌전적</t>
    <phoneticPr fontId="1" type="noConversion"/>
  </si>
  <si>
    <t>지원번호</t>
    <phoneticPr fontId="1" type="noConversion"/>
  </si>
  <si>
    <t>성별</t>
  </si>
  <si>
    <t>응시여부</t>
    <phoneticPr fontId="1" type="noConversion"/>
  </si>
  <si>
    <t>면접결과</t>
    <phoneticPr fontId="1" type="noConversion"/>
  </si>
  <si>
    <t>결시율</t>
  </si>
  <si>
    <t>승리</t>
    <phoneticPr fontId="1" type="noConversion"/>
  </si>
  <si>
    <t>패배</t>
    <phoneticPr fontId="1" type="noConversion"/>
  </si>
  <si>
    <t>게이머명</t>
    <phoneticPr fontId="1" type="noConversion"/>
  </si>
  <si>
    <t>A21-101</t>
    <phoneticPr fontId="1" type="noConversion"/>
  </si>
  <si>
    <t>O</t>
  </si>
  <si>
    <t>마블맨</t>
    <phoneticPr fontId="1" type="noConversion"/>
  </si>
  <si>
    <t>A21-102</t>
  </si>
  <si>
    <t>퍼스트</t>
    <phoneticPr fontId="1" type="noConversion"/>
  </si>
  <si>
    <t>A21-103</t>
  </si>
  <si>
    <t>파워맨</t>
    <phoneticPr fontId="1" type="noConversion"/>
  </si>
  <si>
    <t>A21-104</t>
  </si>
  <si>
    <t>울트라</t>
    <phoneticPr fontId="1" type="noConversion"/>
  </si>
  <si>
    <t>A21-105</t>
  </si>
  <si>
    <t>핵펀치</t>
    <phoneticPr fontId="1" type="noConversion"/>
  </si>
  <si>
    <t>A21-106</t>
  </si>
  <si>
    <t>사냥꾼</t>
    <phoneticPr fontId="1" type="noConversion"/>
  </si>
  <si>
    <t>A21-107</t>
  </si>
  <si>
    <t>마법사</t>
    <phoneticPr fontId="1" type="noConversion"/>
  </si>
  <si>
    <t>A21-108</t>
  </si>
  <si>
    <t>스나이퍼</t>
    <phoneticPr fontId="1" type="noConversion"/>
  </si>
  <si>
    <t>A21-109</t>
  </si>
  <si>
    <t>A21-110</t>
  </si>
  <si>
    <t>성명</t>
    <phoneticPr fontId="1" type="noConversion"/>
  </si>
  <si>
    <t>주민등록번호</t>
    <phoneticPr fontId="1" type="noConversion"/>
  </si>
  <si>
    <t>성별</t>
    <phoneticPr fontId="1" type="noConversion"/>
  </si>
  <si>
    <t>생년월일</t>
    <phoneticPr fontId="1" type="noConversion"/>
  </si>
  <si>
    <t>최은영</t>
    <phoneticPr fontId="16" type="noConversion"/>
  </si>
  <si>
    <t>880808-2******</t>
    <phoneticPr fontId="1" type="noConversion"/>
  </si>
  <si>
    <t>김성철</t>
    <phoneticPr fontId="16" type="noConversion"/>
  </si>
  <si>
    <t>920214-1******</t>
    <phoneticPr fontId="1" type="noConversion"/>
  </si>
  <si>
    <t>김진혁</t>
    <phoneticPr fontId="16" type="noConversion"/>
  </si>
  <si>
    <t>900513-1******</t>
    <phoneticPr fontId="1" type="noConversion"/>
  </si>
  <si>
    <t>이진아</t>
    <phoneticPr fontId="16" type="noConversion"/>
  </si>
  <si>
    <t>980624-2******</t>
    <phoneticPr fontId="1" type="noConversion"/>
  </si>
  <si>
    <t>진성우</t>
    <phoneticPr fontId="16" type="noConversion"/>
  </si>
  <si>
    <t>880507-2******</t>
  </si>
  <si>
    <t>780923-1******</t>
    <phoneticPr fontId="1" type="noConversion"/>
  </si>
  <si>
    <t>010819-3******</t>
    <phoneticPr fontId="1" type="noConversion"/>
  </si>
  <si>
    <t>020901-4******</t>
    <phoneticPr fontId="1" type="noConversion"/>
  </si>
  <si>
    <t>김봉수</t>
    <phoneticPr fontId="16" type="noConversion"/>
  </si>
  <si>
    <t>850505-1******</t>
    <phoneticPr fontId="1" type="noConversion"/>
  </si>
  <si>
    <t>최서은</t>
    <phoneticPr fontId="16" type="noConversion"/>
  </si>
  <si>
    <t>990909-2******</t>
    <phoneticPr fontId="1" type="noConversion"/>
  </si>
  <si>
    <t>승률이 가장 높은 게이머명</t>
    <phoneticPr fontId="1" type="noConversion"/>
  </si>
  <si>
    <t>[표1]</t>
    <phoneticPr fontId="1" type="noConversion"/>
  </si>
  <si>
    <t>[표2]</t>
    <phoneticPr fontId="1" type="noConversion"/>
  </si>
  <si>
    <t xml:space="preserve">[표3] </t>
    <phoneticPr fontId="1" type="noConversion"/>
  </si>
  <si>
    <t>[표4]</t>
    <phoneticPr fontId="1" type="noConversion"/>
  </si>
  <si>
    <t>[표5]</t>
    <phoneticPr fontId="1" type="noConversion"/>
  </si>
  <si>
    <t>1일 총 섭취량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</si>
</sst>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&quot;원&quot;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rgb="FF7030A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u val="double"/>
      <sz val="18"/>
      <color theme="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4" fillId="0" borderId="0"/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7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/>
    <xf numFmtId="14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41" fontId="7" fillId="0" borderId="0" xfId="3" applyFont="1" applyAlignment="1">
      <alignment vertical="center"/>
    </xf>
    <xf numFmtId="41" fontId="7" fillId="0" borderId="1" xfId="3" applyFont="1" applyBorder="1" applyAlignment="1">
      <alignment horizontal="center" vertical="center"/>
    </xf>
    <xf numFmtId="41" fontId="7" fillId="0" borderId="1" xfId="3" applyFont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41" fontId="7" fillId="0" borderId="1" xfId="3" applyNumberFormat="1" applyFont="1" applyBorder="1" applyAlignmen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8" fillId="2" borderId="4" xfId="4" applyBorder="1">
      <alignment vertical="center"/>
    </xf>
    <xf numFmtId="0" fontId="8" fillId="2" borderId="5" xfId="4" applyBorder="1">
      <alignment vertical="center"/>
    </xf>
    <xf numFmtId="0" fontId="8" fillId="2" borderId="6" xfId="4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0" fillId="0" borderId="10" xfId="0" applyNumberFormat="1" applyBorder="1">
      <alignment vertical="center"/>
    </xf>
    <xf numFmtId="0" fontId="0" fillId="0" borderId="11" xfId="0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5" applyFont="1" applyAlignment="1">
      <alignment vertical="center"/>
    </xf>
    <xf numFmtId="0" fontId="3" fillId="0" borderId="0" xfId="6" applyFont="1">
      <alignment vertical="center"/>
    </xf>
    <xf numFmtId="0" fontId="15" fillId="0" borderId="1" xfId="5" applyNumberFormat="1" applyFont="1" applyBorder="1" applyAlignment="1">
      <alignment horizontal="center" vertical="center"/>
    </xf>
    <xf numFmtId="0" fontId="15" fillId="0" borderId="1" xfId="7" applyNumberFormat="1" applyFont="1" applyBorder="1" applyAlignment="1">
      <alignment horizontal="center" vertical="center"/>
    </xf>
    <xf numFmtId="41" fontId="15" fillId="0" borderId="1" xfId="7" applyFont="1" applyBorder="1" applyAlignment="1">
      <alignment horizontal="center" vertical="center"/>
    </xf>
    <xf numFmtId="14" fontId="18" fillId="0" borderId="1" xfId="8" applyNumberFormat="1" applyFont="1" applyFill="1" applyBorder="1" applyAlignment="1">
      <alignment horizontal="center" vertical="center" shrinkToFit="1"/>
    </xf>
    <xf numFmtId="0" fontId="15" fillId="0" borderId="1" xfId="7" applyNumberFormat="1" applyFont="1" applyFill="1" applyBorder="1" applyAlignment="1">
      <alignment horizontal="center" vertical="center"/>
    </xf>
    <xf numFmtId="41" fontId="15" fillId="0" borderId="1" xfId="7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15" fillId="0" borderId="0" xfId="5" applyFont="1" applyAlignment="1">
      <alignment vertical="center"/>
    </xf>
    <xf numFmtId="0" fontId="15" fillId="0" borderId="0" xfId="0" applyFont="1">
      <alignment vertical="center"/>
    </xf>
    <xf numFmtId="0" fontId="15" fillId="0" borderId="0" xfId="6" applyFont="1">
      <alignment vertical="center"/>
    </xf>
    <xf numFmtId="0" fontId="15" fillId="0" borderId="1" xfId="6" applyFont="1" applyBorder="1" applyAlignment="1">
      <alignment horizontal="center" vertical="center"/>
    </xf>
    <xf numFmtId="0" fontId="15" fillId="4" borderId="1" xfId="6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5" fillId="5" borderId="12" xfId="5" applyFont="1" applyFill="1" applyBorder="1" applyAlignment="1">
      <alignment horizontal="center" vertical="center"/>
    </xf>
    <xf numFmtId="0" fontId="15" fillId="5" borderId="13" xfId="5" applyFont="1" applyFill="1" applyBorder="1" applyAlignment="1">
      <alignment horizontal="center" vertical="center"/>
    </xf>
    <xf numFmtId="0" fontId="15" fillId="5" borderId="14" xfId="5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textRotation="255"/>
    </xf>
    <xf numFmtId="0" fontId="6" fillId="0" borderId="0" xfId="0" applyFont="1" applyAlignment="1">
      <alignment horizontal="center" vertical="center"/>
    </xf>
  </cellXfs>
  <cellStyles count="9">
    <cellStyle name="강조색6" xfId="4" builtinId="49"/>
    <cellStyle name="쉼표 [0]" xfId="1" builtinId="6"/>
    <cellStyle name="쉼표 [0] 2" xfId="3" xr:uid="{00000000-0005-0000-0000-000002000000}"/>
    <cellStyle name="쉼표 [0] 2 2" xfId="7" xr:uid="{00000000-0005-0000-0000-000003000000}"/>
    <cellStyle name="표준" xfId="0" builtinId="0"/>
    <cellStyle name="표준 2" xfId="2" xr:uid="{00000000-0005-0000-0000-000005000000}"/>
    <cellStyle name="표준 2 3" xfId="8" xr:uid="{00000000-0005-0000-0000-000006000000}"/>
    <cellStyle name="표준 3" xfId="5" xr:uid="{00000000-0005-0000-0000-000007000000}"/>
    <cellStyle name="표준 3 2" xfId="6" xr:uid="{00000000-0005-0000-0000-000008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가전제품 판매현황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판매금액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2350000</c:v>
                </c:pt>
                <c:pt idx="1">
                  <c:v>1300000</c:v>
                </c:pt>
                <c:pt idx="2">
                  <c:v>1800000</c:v>
                </c:pt>
                <c:pt idx="3">
                  <c:v>3540000</c:v>
                </c:pt>
                <c:pt idx="4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3-4B5F-BA29-83567622744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할인금액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94-4C09-AC89-A018ABCA960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994-4C09-AC89-A018ABCA960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94-4C09-AC89-A018ABCA960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94-4C09-AC89-A018ABCA96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차트작업!$A$4:$A$8</c:f>
              <c:strCache>
                <c:ptCount val="5"/>
                <c:pt idx="0">
                  <c:v>세탁기</c:v>
                </c:pt>
                <c:pt idx="1">
                  <c:v>공기청정기</c:v>
                </c:pt>
                <c:pt idx="2">
                  <c:v>건조기</c:v>
                </c:pt>
                <c:pt idx="3">
                  <c:v>냉장고</c:v>
                </c:pt>
                <c:pt idx="4">
                  <c:v>에어컨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1997500</c:v>
                </c:pt>
                <c:pt idx="1">
                  <c:v>1031300</c:v>
                </c:pt>
                <c:pt idx="2">
                  <c:v>1475600</c:v>
                </c:pt>
                <c:pt idx="3">
                  <c:v>3009000</c:v>
                </c:pt>
                <c:pt idx="4">
                  <c:v>2181900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3-4B5F-BA29-835676227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989232"/>
        <c:axId val="855993808"/>
      </c:lineChart>
      <c:catAx>
        <c:axId val="85598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5993808"/>
        <c:crosses val="autoZero"/>
        <c:auto val="1"/>
        <c:lblAlgn val="ctr"/>
        <c:lblOffset val="100"/>
        <c:noMultiLvlLbl val="0"/>
      </c:catAx>
      <c:valAx>
        <c:axId val="85599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59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657225</xdr:colOff>
          <xdr:row>2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12700</xdr:colOff>
      <xdr:row>5</xdr:row>
      <xdr:rowOff>0</xdr:rowOff>
    </xdr:from>
    <xdr:to>
      <xdr:col>10</xdr:col>
      <xdr:colOff>0</xdr:colOff>
      <xdr:row>7</xdr:row>
      <xdr:rowOff>0</xdr:rowOff>
    </xdr:to>
    <xdr:sp macro="[0]!서식" textlink="">
      <xdr:nvSpPr>
        <xdr:cNvPr id="2" name="오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295900" y="1130300"/>
          <a:ext cx="1308100" cy="4318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tabSelected="1" workbookViewId="0"/>
  </sheetViews>
  <sheetFormatPr defaultRowHeight="16.5"/>
  <cols>
    <col min="1" max="1" width="10.625" customWidth="1"/>
    <col min="3" max="4" width="13.625" bestFit="1" customWidth="1"/>
    <col min="5" max="6" width="13.875" bestFit="1" customWidth="1"/>
  </cols>
  <sheetData>
    <row r="1" spans="1:6">
      <c r="A1" t="s">
        <v>59</v>
      </c>
    </row>
    <row r="3" spans="1:6">
      <c r="A3" t="s">
        <v>71</v>
      </c>
      <c r="B3" t="s">
        <v>60</v>
      </c>
      <c r="C3" t="s">
        <v>88</v>
      </c>
      <c r="D3" t="s">
        <v>72</v>
      </c>
      <c r="E3" t="s">
        <v>97</v>
      </c>
      <c r="F3" t="s">
        <v>61</v>
      </c>
    </row>
    <row r="4" spans="1:6">
      <c r="A4" t="s">
        <v>181</v>
      </c>
      <c r="B4" t="s">
        <v>81</v>
      </c>
      <c r="C4" t="s">
        <v>96</v>
      </c>
      <c r="D4" t="s">
        <v>73</v>
      </c>
      <c r="E4" s="8">
        <v>45306</v>
      </c>
      <c r="F4" t="s">
        <v>62</v>
      </c>
    </row>
    <row r="5" spans="1:6">
      <c r="A5" t="s">
        <v>182</v>
      </c>
      <c r="B5" t="s">
        <v>82</v>
      </c>
      <c r="C5" t="s">
        <v>89</v>
      </c>
      <c r="D5" s="9" t="s">
        <v>74</v>
      </c>
      <c r="E5" s="8">
        <v>45355</v>
      </c>
      <c r="F5" t="s">
        <v>63</v>
      </c>
    </row>
    <row r="6" spans="1:6">
      <c r="A6" t="s">
        <v>183</v>
      </c>
      <c r="B6" t="s">
        <v>83</v>
      </c>
      <c r="C6" t="s">
        <v>90</v>
      </c>
      <c r="D6" s="9" t="s">
        <v>75</v>
      </c>
      <c r="E6" s="8">
        <v>45434</v>
      </c>
      <c r="F6" t="s">
        <v>64</v>
      </c>
    </row>
    <row r="7" spans="1:6">
      <c r="A7" t="s">
        <v>184</v>
      </c>
      <c r="B7" t="s">
        <v>84</v>
      </c>
      <c r="C7" t="s">
        <v>94</v>
      </c>
      <c r="D7" s="9" t="s">
        <v>76</v>
      </c>
      <c r="E7" s="8">
        <v>45462</v>
      </c>
      <c r="F7" t="s">
        <v>65</v>
      </c>
    </row>
    <row r="8" spans="1:6">
      <c r="A8" t="s">
        <v>185</v>
      </c>
      <c r="B8" t="s">
        <v>85</v>
      </c>
      <c r="C8" t="s">
        <v>95</v>
      </c>
      <c r="D8" s="9" t="s">
        <v>77</v>
      </c>
      <c r="E8" s="8">
        <v>45502</v>
      </c>
      <c r="F8" t="s">
        <v>66</v>
      </c>
    </row>
    <row r="9" spans="1:6">
      <c r="A9" t="s">
        <v>186</v>
      </c>
      <c r="B9" t="s">
        <v>86</v>
      </c>
      <c r="C9" t="s">
        <v>93</v>
      </c>
      <c r="D9" s="9" t="s">
        <v>78</v>
      </c>
      <c r="E9" s="8">
        <v>45523</v>
      </c>
      <c r="F9" t="s">
        <v>67</v>
      </c>
    </row>
    <row r="10" spans="1:6">
      <c r="A10" t="s">
        <v>187</v>
      </c>
      <c r="B10" t="s">
        <v>87</v>
      </c>
      <c r="C10" t="s">
        <v>92</v>
      </c>
      <c r="D10" s="9" t="s">
        <v>79</v>
      </c>
      <c r="E10" s="8">
        <v>45537</v>
      </c>
      <c r="F10" t="s">
        <v>68</v>
      </c>
    </row>
    <row r="11" spans="1:6">
      <c r="A11" t="s">
        <v>188</v>
      </c>
      <c r="B11" t="s">
        <v>69</v>
      </c>
      <c r="C11" t="s">
        <v>91</v>
      </c>
      <c r="D11" s="9" t="s">
        <v>80</v>
      </c>
      <c r="E11" s="8">
        <v>45576</v>
      </c>
      <c r="F11" t="s">
        <v>70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3"/>
  <sheetViews>
    <sheetView workbookViewId="0">
      <selection sqref="A1:G1"/>
    </sheetView>
  </sheetViews>
  <sheetFormatPr defaultRowHeight="16.5"/>
  <cols>
    <col min="3" max="3" width="15" bestFit="1" customWidth="1"/>
    <col min="5" max="5" width="17.25" style="10" bestFit="1" customWidth="1"/>
  </cols>
  <sheetData>
    <row r="1" spans="1:7" ht="30" customHeight="1">
      <c r="A1" s="54" t="s">
        <v>180</v>
      </c>
      <c r="B1" s="54"/>
      <c r="C1" s="54"/>
      <c r="D1" s="54"/>
      <c r="E1" s="54"/>
      <c r="F1" s="54"/>
      <c r="G1" s="54"/>
    </row>
    <row r="2" spans="1:7" ht="17.25" thickBot="1"/>
    <row r="3" spans="1:7">
      <c r="A3" s="21" t="s">
        <v>132</v>
      </c>
      <c r="B3" s="22" t="s">
        <v>133</v>
      </c>
      <c r="C3" s="22" t="s">
        <v>134</v>
      </c>
      <c r="D3" s="22" t="s">
        <v>135</v>
      </c>
      <c r="E3" s="22" t="s">
        <v>334</v>
      </c>
      <c r="F3" s="22" t="s">
        <v>136</v>
      </c>
      <c r="G3" s="23" t="s">
        <v>137</v>
      </c>
    </row>
    <row r="4" spans="1:7">
      <c r="A4" s="24" t="s">
        <v>169</v>
      </c>
      <c r="B4" s="55" t="s">
        <v>138</v>
      </c>
      <c r="C4" s="19" t="s">
        <v>139</v>
      </c>
      <c r="D4" s="19" t="s">
        <v>145</v>
      </c>
      <c r="E4" s="19" t="s">
        <v>146</v>
      </c>
      <c r="F4" s="20">
        <v>35000</v>
      </c>
      <c r="G4" s="25">
        <v>3510</v>
      </c>
    </row>
    <row r="5" spans="1:7">
      <c r="A5" s="24" t="s">
        <v>168</v>
      </c>
      <c r="B5" s="55"/>
      <c r="C5" s="19" t="s">
        <v>140</v>
      </c>
      <c r="D5" s="19" t="s">
        <v>148</v>
      </c>
      <c r="E5" s="19" t="s">
        <v>147</v>
      </c>
      <c r="F5" s="20">
        <v>44000</v>
      </c>
      <c r="G5" s="25">
        <v>1570</v>
      </c>
    </row>
    <row r="6" spans="1:7">
      <c r="A6" s="24" t="s">
        <v>170</v>
      </c>
      <c r="B6" s="55"/>
      <c r="C6" s="19" t="s">
        <v>141</v>
      </c>
      <c r="D6" s="19" t="s">
        <v>142</v>
      </c>
      <c r="E6" s="19" t="s">
        <v>149</v>
      </c>
      <c r="F6" s="20">
        <v>29000</v>
      </c>
      <c r="G6" s="25">
        <v>2154</v>
      </c>
    </row>
    <row r="7" spans="1:7">
      <c r="A7" s="24" t="s">
        <v>171</v>
      </c>
      <c r="B7" s="55"/>
      <c r="C7" s="19" t="s">
        <v>143</v>
      </c>
      <c r="D7" s="19" t="s">
        <v>144</v>
      </c>
      <c r="E7" s="19" t="s">
        <v>150</v>
      </c>
      <c r="F7" s="20">
        <v>69000</v>
      </c>
      <c r="G7" s="25">
        <v>850</v>
      </c>
    </row>
    <row r="8" spans="1:7" s="10" customFormat="1">
      <c r="A8" s="24" t="s">
        <v>174</v>
      </c>
      <c r="B8" s="55"/>
      <c r="C8" s="19" t="s">
        <v>172</v>
      </c>
      <c r="D8" s="19" t="s">
        <v>173</v>
      </c>
      <c r="E8" s="19" t="s">
        <v>175</v>
      </c>
      <c r="F8" s="20">
        <v>30000</v>
      </c>
      <c r="G8" s="25">
        <v>6241</v>
      </c>
    </row>
    <row r="9" spans="1:7">
      <c r="A9" s="24" t="s">
        <v>164</v>
      </c>
      <c r="B9" s="55" t="s">
        <v>151</v>
      </c>
      <c r="C9" s="19" t="s">
        <v>152</v>
      </c>
      <c r="D9" s="19" t="s">
        <v>162</v>
      </c>
      <c r="E9" s="19" t="s">
        <v>163</v>
      </c>
      <c r="F9" s="20">
        <v>37000</v>
      </c>
      <c r="G9" s="25">
        <v>8500</v>
      </c>
    </row>
    <row r="10" spans="1:7">
      <c r="A10" s="24" t="s">
        <v>165</v>
      </c>
      <c r="B10" s="55"/>
      <c r="C10" s="19" t="s">
        <v>153</v>
      </c>
      <c r="D10" s="19" t="s">
        <v>154</v>
      </c>
      <c r="E10" s="19" t="s">
        <v>155</v>
      </c>
      <c r="F10" s="20">
        <v>45000</v>
      </c>
      <c r="G10" s="25">
        <v>1260</v>
      </c>
    </row>
    <row r="11" spans="1:7">
      <c r="A11" s="24" t="s">
        <v>166</v>
      </c>
      <c r="B11" s="55"/>
      <c r="C11" s="19" t="s">
        <v>156</v>
      </c>
      <c r="D11" s="19" t="s">
        <v>157</v>
      </c>
      <c r="E11" s="19" t="s">
        <v>158</v>
      </c>
      <c r="F11" s="20">
        <v>42000</v>
      </c>
      <c r="G11" s="25">
        <v>3160</v>
      </c>
    </row>
    <row r="12" spans="1:7">
      <c r="A12" s="24" t="s">
        <v>167</v>
      </c>
      <c r="B12" s="55"/>
      <c r="C12" s="19" t="s">
        <v>159</v>
      </c>
      <c r="D12" s="19" t="s">
        <v>160</v>
      </c>
      <c r="E12" s="19" t="s">
        <v>161</v>
      </c>
      <c r="F12" s="20">
        <v>45000</v>
      </c>
      <c r="G12" s="25">
        <v>2740</v>
      </c>
    </row>
    <row r="13" spans="1:7" ht="17.25" thickBot="1">
      <c r="A13" s="26" t="s">
        <v>179</v>
      </c>
      <c r="B13" s="56"/>
      <c r="C13" s="27" t="s">
        <v>176</v>
      </c>
      <c r="D13" s="27" t="s">
        <v>177</v>
      </c>
      <c r="E13" s="27" t="s">
        <v>178</v>
      </c>
      <c r="F13" s="28">
        <v>43000</v>
      </c>
      <c r="G13" s="29">
        <v>4520</v>
      </c>
    </row>
  </sheetData>
  <mergeCells count="3">
    <mergeCell ref="A1:G1"/>
    <mergeCell ref="B4:B8"/>
    <mergeCell ref="B9:B13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0"/>
  <sheetViews>
    <sheetView workbookViewId="0"/>
  </sheetViews>
  <sheetFormatPr defaultRowHeight="16.5"/>
  <cols>
    <col min="3" max="4" width="8.5" bestFit="1" customWidth="1"/>
    <col min="5" max="5" width="12.375" bestFit="1" customWidth="1"/>
    <col min="6" max="6" width="8.5" bestFit="1" customWidth="1"/>
    <col min="7" max="7" width="10.375" bestFit="1" customWidth="1"/>
    <col min="8" max="8" width="9" bestFit="1" customWidth="1"/>
  </cols>
  <sheetData>
    <row r="1" spans="1:8" s="10" customFormat="1">
      <c r="A1" s="10" t="s">
        <v>189</v>
      </c>
    </row>
    <row r="2" spans="1:8" s="10" customFormat="1"/>
    <row r="3" spans="1:8">
      <c r="A3" s="1" t="s">
        <v>8</v>
      </c>
      <c r="B3" s="1" t="s">
        <v>9</v>
      </c>
      <c r="C3" s="1" t="s">
        <v>10</v>
      </c>
      <c r="D3" s="1" t="s">
        <v>11</v>
      </c>
      <c r="E3" s="1" t="s">
        <v>12</v>
      </c>
      <c r="F3" s="1" t="s">
        <v>13</v>
      </c>
      <c r="G3" s="1" t="s">
        <v>14</v>
      </c>
      <c r="H3" s="1" t="s">
        <v>15</v>
      </c>
    </row>
    <row r="4" spans="1:8">
      <c r="A4" s="1" t="s">
        <v>16</v>
      </c>
      <c r="B4" s="1" t="s">
        <v>17</v>
      </c>
      <c r="C4" s="3">
        <v>2</v>
      </c>
      <c r="D4" s="3">
        <v>94</v>
      </c>
      <c r="E4" s="3">
        <v>93</v>
      </c>
      <c r="F4" s="3">
        <v>95</v>
      </c>
      <c r="G4" s="3">
        <v>98</v>
      </c>
      <c r="H4" s="3">
        <v>94</v>
      </c>
    </row>
    <row r="5" spans="1:8">
      <c r="A5" s="1" t="s">
        <v>18</v>
      </c>
      <c r="B5" s="1" t="s">
        <v>19</v>
      </c>
      <c r="C5" s="3">
        <v>3</v>
      </c>
      <c r="D5" s="3">
        <v>93</v>
      </c>
      <c r="E5" s="3">
        <v>90</v>
      </c>
      <c r="F5" s="3">
        <v>80</v>
      </c>
      <c r="G5" s="3">
        <v>85</v>
      </c>
      <c r="H5" s="3">
        <v>81</v>
      </c>
    </row>
    <row r="6" spans="1:8">
      <c r="A6" s="1" t="s">
        <v>20</v>
      </c>
      <c r="B6" s="1" t="s">
        <v>21</v>
      </c>
      <c r="C6" s="3">
        <v>1</v>
      </c>
      <c r="D6" s="3">
        <v>95</v>
      </c>
      <c r="E6" s="3">
        <v>89</v>
      </c>
      <c r="F6" s="3">
        <v>98</v>
      </c>
      <c r="G6" s="3">
        <v>84</v>
      </c>
      <c r="H6" s="3">
        <v>90</v>
      </c>
    </row>
    <row r="7" spans="1:8">
      <c r="A7" s="1" t="s">
        <v>22</v>
      </c>
      <c r="B7" s="1" t="s">
        <v>23</v>
      </c>
      <c r="C7" s="3">
        <v>4</v>
      </c>
      <c r="D7" s="3">
        <v>85</v>
      </c>
      <c r="E7" s="3">
        <v>80</v>
      </c>
      <c r="F7" s="3">
        <v>93</v>
      </c>
      <c r="G7" s="3">
        <v>72</v>
      </c>
      <c r="H7" s="3">
        <v>73</v>
      </c>
    </row>
    <row r="8" spans="1:8">
      <c r="A8" s="1" t="s">
        <v>24</v>
      </c>
      <c r="B8" s="1" t="s">
        <v>25</v>
      </c>
      <c r="C8" s="3">
        <v>2</v>
      </c>
      <c r="D8" s="3">
        <v>88</v>
      </c>
      <c r="E8" s="3">
        <v>90</v>
      </c>
      <c r="F8" s="3">
        <v>86</v>
      </c>
      <c r="G8" s="3">
        <v>92</v>
      </c>
      <c r="H8" s="3">
        <v>77</v>
      </c>
    </row>
    <row r="9" spans="1:8">
      <c r="A9" s="1" t="s">
        <v>26</v>
      </c>
      <c r="B9" s="1" t="s">
        <v>27</v>
      </c>
      <c r="C9" s="3">
        <v>1</v>
      </c>
      <c r="D9" s="3">
        <v>85</v>
      </c>
      <c r="E9" s="3">
        <v>80</v>
      </c>
      <c r="F9" s="3">
        <v>95</v>
      </c>
      <c r="G9" s="3">
        <v>73</v>
      </c>
      <c r="H9" s="3">
        <v>91</v>
      </c>
    </row>
    <row r="10" spans="1:8">
      <c r="A10" s="1" t="s">
        <v>28</v>
      </c>
      <c r="B10" s="1" t="s">
        <v>29</v>
      </c>
      <c r="C10" s="3">
        <v>4</v>
      </c>
      <c r="D10" s="3">
        <v>89</v>
      </c>
      <c r="E10" s="3">
        <v>90</v>
      </c>
      <c r="F10" s="3">
        <v>88</v>
      </c>
      <c r="G10" s="3">
        <v>91</v>
      </c>
      <c r="H10" s="3">
        <v>80</v>
      </c>
    </row>
    <row r="11" spans="1:8">
      <c r="A11" s="1" t="s">
        <v>30</v>
      </c>
      <c r="B11" s="1" t="s">
        <v>31</v>
      </c>
      <c r="C11" s="3">
        <v>2</v>
      </c>
      <c r="D11" s="3">
        <v>93</v>
      </c>
      <c r="E11" s="3">
        <v>80</v>
      </c>
      <c r="F11" s="3">
        <v>81</v>
      </c>
      <c r="G11" s="3">
        <v>77</v>
      </c>
      <c r="H11" s="3">
        <v>85</v>
      </c>
    </row>
    <row r="12" spans="1:8">
      <c r="A12" s="1" t="s">
        <v>32</v>
      </c>
      <c r="B12" s="1" t="s">
        <v>33</v>
      </c>
      <c r="C12" s="3">
        <v>3</v>
      </c>
      <c r="D12" s="3">
        <v>95</v>
      </c>
      <c r="E12" s="3">
        <v>73</v>
      </c>
      <c r="F12" s="3">
        <v>86</v>
      </c>
      <c r="G12" s="3">
        <v>89</v>
      </c>
      <c r="H12" s="3">
        <v>83</v>
      </c>
    </row>
    <row r="13" spans="1:8">
      <c r="A13" s="1" t="s">
        <v>34</v>
      </c>
      <c r="B13" s="1" t="s">
        <v>35</v>
      </c>
      <c r="C13" s="3">
        <v>2</v>
      </c>
      <c r="D13" s="3">
        <v>84</v>
      </c>
      <c r="E13" s="3">
        <v>95</v>
      </c>
      <c r="F13" s="3">
        <v>80</v>
      </c>
      <c r="G13" s="3">
        <v>98</v>
      </c>
      <c r="H13" s="3">
        <v>86</v>
      </c>
    </row>
    <row r="14" spans="1:8">
      <c r="A14" s="1" t="s">
        <v>36</v>
      </c>
      <c r="B14" s="1" t="s">
        <v>37</v>
      </c>
      <c r="C14" s="3">
        <v>1</v>
      </c>
      <c r="D14" s="3">
        <v>77</v>
      </c>
      <c r="E14" s="3">
        <v>90</v>
      </c>
      <c r="F14" s="3">
        <v>92</v>
      </c>
      <c r="G14" s="3">
        <v>79</v>
      </c>
      <c r="H14" s="3">
        <v>91</v>
      </c>
    </row>
    <row r="15" spans="1:8">
      <c r="A15" s="1" t="s">
        <v>38</v>
      </c>
      <c r="B15" s="1" t="s">
        <v>39</v>
      </c>
      <c r="C15" s="3">
        <v>2</v>
      </c>
      <c r="D15" s="3">
        <v>81</v>
      </c>
      <c r="E15" s="3">
        <v>72</v>
      </c>
      <c r="F15" s="3">
        <v>90</v>
      </c>
      <c r="G15" s="3">
        <v>88</v>
      </c>
      <c r="H15" s="3">
        <v>95</v>
      </c>
    </row>
    <row r="16" spans="1:8">
      <c r="A16" s="1" t="s">
        <v>40</v>
      </c>
      <c r="B16" s="1" t="s">
        <v>41</v>
      </c>
      <c r="C16" s="3">
        <v>4</v>
      </c>
      <c r="D16" s="3">
        <v>85</v>
      </c>
      <c r="E16" s="3">
        <v>95</v>
      </c>
      <c r="F16" s="3">
        <v>91</v>
      </c>
      <c r="G16" s="3">
        <v>84</v>
      </c>
      <c r="H16" s="3">
        <v>73</v>
      </c>
    </row>
    <row r="17" spans="1:8">
      <c r="A17" s="1" t="s">
        <v>42</v>
      </c>
      <c r="B17" s="1" t="s">
        <v>43</v>
      </c>
      <c r="C17" s="3">
        <v>2</v>
      </c>
      <c r="D17" s="3">
        <v>81</v>
      </c>
      <c r="E17" s="3">
        <v>80</v>
      </c>
      <c r="F17" s="3">
        <v>72</v>
      </c>
      <c r="G17" s="3">
        <v>88</v>
      </c>
      <c r="H17" s="3">
        <v>85</v>
      </c>
    </row>
    <row r="18" spans="1:8">
      <c r="A18" s="1" t="s">
        <v>44</v>
      </c>
      <c r="B18" s="1" t="s">
        <v>45</v>
      </c>
      <c r="C18" s="3">
        <v>3</v>
      </c>
      <c r="D18" s="3">
        <v>95</v>
      </c>
      <c r="E18" s="3">
        <v>73</v>
      </c>
      <c r="F18" s="3">
        <v>80</v>
      </c>
      <c r="G18" s="3">
        <v>93</v>
      </c>
      <c r="H18" s="3">
        <v>88</v>
      </c>
    </row>
    <row r="19" spans="1:8">
      <c r="A19" s="1" t="s">
        <v>46</v>
      </c>
      <c r="B19" s="1" t="s">
        <v>47</v>
      </c>
      <c r="C19" s="3">
        <v>1</v>
      </c>
      <c r="D19" s="3">
        <v>90</v>
      </c>
      <c r="E19" s="3">
        <v>89</v>
      </c>
      <c r="F19" s="3">
        <v>92</v>
      </c>
      <c r="G19" s="3">
        <v>81</v>
      </c>
      <c r="H19" s="3">
        <v>77</v>
      </c>
    </row>
    <row r="20" spans="1:8">
      <c r="A20" s="1" t="s">
        <v>48</v>
      </c>
      <c r="B20" s="1" t="s">
        <v>49</v>
      </c>
      <c r="C20" s="3">
        <v>3</v>
      </c>
      <c r="D20" s="3">
        <v>93</v>
      </c>
      <c r="E20" s="3">
        <v>98</v>
      </c>
      <c r="F20" s="3">
        <v>95</v>
      </c>
      <c r="G20" s="3">
        <v>89</v>
      </c>
      <c r="H20" s="3">
        <v>94</v>
      </c>
    </row>
  </sheetData>
  <phoneticPr fontId="1" type="noConversion"/>
  <conditionalFormatting sqref="A4:H20">
    <cfRule type="expression" dxfId="3" priority="2">
      <formula>OR(LEFT($A4,1)="E",_xlfn.RANK.EQ($H4,$H$4:$H$20)&lt;=5)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2"/>
  <sheetViews>
    <sheetView workbookViewId="0"/>
  </sheetViews>
  <sheetFormatPr defaultRowHeight="16.5"/>
  <cols>
    <col min="2" max="2" width="13.625" customWidth="1"/>
    <col min="5" max="5" width="10.625" bestFit="1" customWidth="1"/>
    <col min="7" max="7" width="10.625" customWidth="1"/>
    <col min="10" max="11" width="12.625" customWidth="1"/>
  </cols>
  <sheetData>
    <row r="1" spans="1:12">
      <c r="A1" s="41" t="s">
        <v>329</v>
      </c>
      <c r="B1" s="32" t="s">
        <v>214</v>
      </c>
      <c r="C1" s="41"/>
      <c r="D1" s="41"/>
      <c r="E1" s="41"/>
      <c r="F1" s="42"/>
      <c r="G1" s="43" t="s">
        <v>330</v>
      </c>
      <c r="H1" s="33" t="s">
        <v>215</v>
      </c>
      <c r="I1" s="43"/>
      <c r="J1" s="43"/>
      <c r="K1" s="43"/>
      <c r="L1" s="10"/>
    </row>
    <row r="2" spans="1:12">
      <c r="A2" s="34" t="s">
        <v>216</v>
      </c>
      <c r="B2" s="34" t="s">
        <v>217</v>
      </c>
      <c r="C2" s="34" t="s">
        <v>218</v>
      </c>
      <c r="D2" s="34" t="s">
        <v>219</v>
      </c>
      <c r="E2" s="34" t="s">
        <v>220</v>
      </c>
      <c r="F2" s="42"/>
      <c r="G2" s="44" t="s">
        <v>221</v>
      </c>
      <c r="H2" s="44" t="s">
        <v>222</v>
      </c>
      <c r="I2" s="44" t="s">
        <v>223</v>
      </c>
      <c r="J2" s="44" t="s">
        <v>224</v>
      </c>
      <c r="K2" s="45" t="s">
        <v>225</v>
      </c>
      <c r="L2" s="10"/>
    </row>
    <row r="3" spans="1:12">
      <c r="A3" s="46" t="s">
        <v>226</v>
      </c>
      <c r="B3" s="34" t="s">
        <v>227</v>
      </c>
      <c r="C3" s="35" t="s">
        <v>228</v>
      </c>
      <c r="D3" s="35" t="s">
        <v>229</v>
      </c>
      <c r="E3" s="36">
        <v>8500000</v>
      </c>
      <c r="F3" s="42"/>
      <c r="G3" s="37">
        <v>45387</v>
      </c>
      <c r="H3" s="44" t="s">
        <v>230</v>
      </c>
      <c r="I3" s="44" t="s">
        <v>231</v>
      </c>
      <c r="J3" s="46" t="s">
        <v>232</v>
      </c>
      <c r="K3" s="44" t="str" cm="1">
        <f t="array" ref="K3">_xlfn.SWITCH(MONTH(G3),3,"정시",4,"정시",5,"정시",9,"수시","")</f>
        <v>정시</v>
      </c>
      <c r="L3" s="10"/>
    </row>
    <row r="4" spans="1:12">
      <c r="A4" s="46" t="s">
        <v>233</v>
      </c>
      <c r="B4" s="34" t="s">
        <v>234</v>
      </c>
      <c r="C4" s="38" t="s">
        <v>235</v>
      </c>
      <c r="D4" s="38" t="s">
        <v>236</v>
      </c>
      <c r="E4" s="36">
        <v>6000000</v>
      </c>
      <c r="F4" s="42"/>
      <c r="G4" s="37">
        <v>45607</v>
      </c>
      <c r="H4" s="44" t="s">
        <v>237</v>
      </c>
      <c r="I4" s="44" t="s">
        <v>238</v>
      </c>
      <c r="J4" s="46" t="s">
        <v>239</v>
      </c>
      <c r="K4" s="44" t="str" cm="1">
        <f t="array" ref="K4">_xlfn.SWITCH(MONTH(G4),3,"정시",4,"정시",5,"정시",9,"수시","")</f>
        <v/>
      </c>
      <c r="L4" s="10"/>
    </row>
    <row r="5" spans="1:12">
      <c r="A5" s="46" t="s">
        <v>240</v>
      </c>
      <c r="B5" s="34" t="s">
        <v>234</v>
      </c>
      <c r="C5" s="38" t="s">
        <v>235</v>
      </c>
      <c r="D5" s="38" t="s">
        <v>241</v>
      </c>
      <c r="E5" s="39">
        <v>7000000</v>
      </c>
      <c r="F5" s="42"/>
      <c r="G5" s="37">
        <v>45374</v>
      </c>
      <c r="H5" s="44" t="s">
        <v>242</v>
      </c>
      <c r="I5" s="44" t="s">
        <v>243</v>
      </c>
      <c r="J5" s="46" t="s">
        <v>244</v>
      </c>
      <c r="K5" s="44" t="str" cm="1">
        <f t="array" ref="K5">_xlfn.SWITCH(MONTH(G5),3,"정시",4,"정시",5,"정시",9,"수시","")</f>
        <v>정시</v>
      </c>
      <c r="L5" s="10"/>
    </row>
    <row r="6" spans="1:12">
      <c r="A6" s="46" t="s">
        <v>245</v>
      </c>
      <c r="B6" s="34" t="s">
        <v>246</v>
      </c>
      <c r="C6" s="38" t="s">
        <v>247</v>
      </c>
      <c r="D6" s="35" t="s">
        <v>229</v>
      </c>
      <c r="E6" s="39">
        <v>7000000</v>
      </c>
      <c r="F6" s="42"/>
      <c r="G6" s="37">
        <v>45638</v>
      </c>
      <c r="H6" s="44" t="s">
        <v>248</v>
      </c>
      <c r="I6" s="44" t="s">
        <v>249</v>
      </c>
      <c r="J6" s="46" t="s">
        <v>250</v>
      </c>
      <c r="K6" s="44" t="str" cm="1">
        <f t="array" ref="K6">_xlfn.SWITCH(MONTH(G6),3,"정시",4,"정시",5,"정시",9,"수시","")</f>
        <v/>
      </c>
      <c r="L6" s="10"/>
    </row>
    <row r="7" spans="1:12">
      <c r="A7" s="46" t="s">
        <v>251</v>
      </c>
      <c r="B7" s="34" t="s">
        <v>234</v>
      </c>
      <c r="C7" s="38" t="s">
        <v>252</v>
      </c>
      <c r="D7" s="35" t="s">
        <v>253</v>
      </c>
      <c r="E7" s="36">
        <v>5000000</v>
      </c>
      <c r="F7" s="42"/>
      <c r="G7" s="37">
        <v>45420</v>
      </c>
      <c r="H7" s="44" t="s">
        <v>254</v>
      </c>
      <c r="I7" s="44" t="s">
        <v>255</v>
      </c>
      <c r="J7" s="46" t="s">
        <v>256</v>
      </c>
      <c r="K7" s="44" t="str" cm="1">
        <f t="array" ref="K7">_xlfn.SWITCH(MONTH(G7),3,"정시",4,"정시",5,"정시",9,"수시","")</f>
        <v>정시</v>
      </c>
      <c r="L7" s="10"/>
    </row>
    <row r="8" spans="1:12">
      <c r="A8" s="46" t="s">
        <v>257</v>
      </c>
      <c r="B8" s="34" t="s">
        <v>258</v>
      </c>
      <c r="C8" s="38" t="s">
        <v>259</v>
      </c>
      <c r="D8" s="38" t="s">
        <v>260</v>
      </c>
      <c r="E8" s="39">
        <v>7500000</v>
      </c>
      <c r="F8" s="42"/>
      <c r="G8" s="37">
        <v>45550</v>
      </c>
      <c r="H8" s="44" t="s">
        <v>261</v>
      </c>
      <c r="I8" s="44" t="s">
        <v>262</v>
      </c>
      <c r="J8" s="46" t="s">
        <v>263</v>
      </c>
      <c r="K8" s="44" t="str" cm="1">
        <f t="array" ref="K8">_xlfn.SWITCH(MONTH(G8),3,"정시",4,"정시",5,"정시",9,"수시","")</f>
        <v>수시</v>
      </c>
      <c r="L8" s="10"/>
    </row>
    <row r="9" spans="1:12">
      <c r="A9" s="46" t="s">
        <v>264</v>
      </c>
      <c r="B9" s="34" t="s">
        <v>234</v>
      </c>
      <c r="C9" s="38" t="s">
        <v>252</v>
      </c>
      <c r="D9" s="38" t="s">
        <v>253</v>
      </c>
      <c r="E9" s="36">
        <v>5000000</v>
      </c>
      <c r="F9" s="42"/>
      <c r="G9" s="37">
        <v>45410</v>
      </c>
      <c r="H9" s="44" t="s">
        <v>265</v>
      </c>
      <c r="I9" s="44" t="s">
        <v>266</v>
      </c>
      <c r="J9" s="46" t="s">
        <v>267</v>
      </c>
      <c r="K9" s="44" t="str" cm="1">
        <f t="array" ref="K9">_xlfn.SWITCH(MONTH(G9),3,"정시",4,"정시",5,"정시",9,"수시","")</f>
        <v>정시</v>
      </c>
      <c r="L9" s="10"/>
    </row>
    <row r="10" spans="1:12">
      <c r="A10" s="46" t="s">
        <v>268</v>
      </c>
      <c r="B10" s="34" t="s">
        <v>269</v>
      </c>
      <c r="C10" s="38" t="s">
        <v>252</v>
      </c>
      <c r="D10" s="35" t="s">
        <v>260</v>
      </c>
      <c r="E10" s="36">
        <v>6000000</v>
      </c>
      <c r="F10" s="42"/>
      <c r="G10" s="37">
        <v>45548</v>
      </c>
      <c r="H10" s="44" t="s">
        <v>237</v>
      </c>
      <c r="I10" s="44" t="s">
        <v>270</v>
      </c>
      <c r="J10" s="46" t="s">
        <v>271</v>
      </c>
      <c r="K10" s="44" t="str" cm="1">
        <f t="array" ref="K10">_xlfn.SWITCH(MONTH(G10),3,"정시",4,"정시",5,"정시",9,"수시","")</f>
        <v>수시</v>
      </c>
      <c r="L10" s="10"/>
    </row>
    <row r="11" spans="1:12">
      <c r="A11" s="46" t="s">
        <v>272</v>
      </c>
      <c r="B11" s="34" t="s">
        <v>273</v>
      </c>
      <c r="C11" s="38" t="s">
        <v>259</v>
      </c>
      <c r="D11" s="38" t="s">
        <v>274</v>
      </c>
      <c r="E11" s="39">
        <v>6500000</v>
      </c>
      <c r="F11" s="42"/>
      <c r="G11" s="42"/>
      <c r="H11" s="42"/>
      <c r="I11" s="42"/>
      <c r="J11" s="42"/>
      <c r="K11" s="42"/>
      <c r="L11" s="10"/>
    </row>
    <row r="12" spans="1:12">
      <c r="A12" s="46" t="s">
        <v>275</v>
      </c>
      <c r="B12" s="34" t="s">
        <v>276</v>
      </c>
      <c r="C12" s="38" t="s">
        <v>252</v>
      </c>
      <c r="D12" s="38" t="s">
        <v>253</v>
      </c>
      <c r="E12" s="36">
        <v>5000000</v>
      </c>
      <c r="F12" s="42"/>
      <c r="G12" s="42"/>
      <c r="H12" s="42"/>
      <c r="I12" s="42"/>
      <c r="J12" s="42"/>
      <c r="K12" s="42"/>
      <c r="L12" s="10"/>
    </row>
    <row r="13" spans="1:12">
      <c r="A13" s="57" t="s">
        <v>277</v>
      </c>
      <c r="B13" s="58"/>
      <c r="C13" s="58"/>
      <c r="D13" s="59"/>
      <c r="E13" s="36">
        <f>ROUND(AVERAGEIFS(E3:E12,B3:B12,"여",C3:C12,"매니저"),-4)</f>
        <v>6000000</v>
      </c>
      <c r="F13" s="42"/>
      <c r="G13" s="42"/>
      <c r="H13" s="42"/>
      <c r="I13" s="42"/>
      <c r="J13" s="42"/>
      <c r="K13" s="42"/>
      <c r="L13" s="10"/>
    </row>
    <row r="14" spans="1:12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10"/>
    </row>
    <row r="15" spans="1:12">
      <c r="A15" s="42" t="s">
        <v>331</v>
      </c>
      <c r="B15" s="40" t="s">
        <v>278</v>
      </c>
      <c r="C15" s="42"/>
      <c r="D15" s="42"/>
      <c r="E15" s="42"/>
      <c r="F15" s="42"/>
      <c r="G15" s="42" t="s">
        <v>332</v>
      </c>
      <c r="H15" s="40" t="s">
        <v>279</v>
      </c>
      <c r="I15" s="42"/>
      <c r="J15" s="42"/>
      <c r="K15" s="42"/>
      <c r="L15" s="10"/>
    </row>
    <row r="16" spans="1:12">
      <c r="A16" s="47" t="s">
        <v>280</v>
      </c>
      <c r="B16" s="47" t="s">
        <v>281</v>
      </c>
      <c r="C16" s="47" t="s">
        <v>282</v>
      </c>
      <c r="D16" s="47" t="s">
        <v>283</v>
      </c>
      <c r="E16" s="48" t="s">
        <v>284</v>
      </c>
      <c r="F16" s="42"/>
      <c r="G16" s="47" t="s">
        <v>285</v>
      </c>
      <c r="H16" s="47" t="s">
        <v>286</v>
      </c>
      <c r="I16" s="49" t="s">
        <v>287</v>
      </c>
      <c r="J16" s="42"/>
      <c r="K16" s="42"/>
      <c r="L16" s="10"/>
    </row>
    <row r="17" spans="1:12">
      <c r="A17" s="47" t="s">
        <v>288</v>
      </c>
      <c r="B17" s="34" t="s">
        <v>246</v>
      </c>
      <c r="C17" s="47" t="s">
        <v>289</v>
      </c>
      <c r="D17" s="47">
        <v>95</v>
      </c>
      <c r="E17" s="50" t="str">
        <f>COUNTBLANK(C17:C26)/COUNTA(A17:A26)*100&amp;"%"</f>
        <v>30%</v>
      </c>
      <c r="F17" s="42"/>
      <c r="G17" s="51">
        <v>185</v>
      </c>
      <c r="H17" s="51">
        <v>115</v>
      </c>
      <c r="I17" s="47" t="s">
        <v>290</v>
      </c>
      <c r="J17" s="42"/>
      <c r="K17" s="42"/>
      <c r="L17" s="10"/>
    </row>
    <row r="18" spans="1:12">
      <c r="A18" s="47" t="s">
        <v>291</v>
      </c>
      <c r="B18" s="34" t="s">
        <v>273</v>
      </c>
      <c r="C18" s="47" t="s">
        <v>289</v>
      </c>
      <c r="D18" s="47">
        <v>90</v>
      </c>
      <c r="E18" s="52"/>
      <c r="F18" s="42"/>
      <c r="G18" s="51">
        <v>156</v>
      </c>
      <c r="H18" s="51">
        <v>144</v>
      </c>
      <c r="I18" s="47" t="s">
        <v>292</v>
      </c>
      <c r="J18" s="42"/>
      <c r="K18" s="42"/>
      <c r="L18" s="10"/>
    </row>
    <row r="19" spans="1:12">
      <c r="A19" s="47" t="s">
        <v>293</v>
      </c>
      <c r="B19" s="34" t="s">
        <v>273</v>
      </c>
      <c r="C19" s="47" t="s">
        <v>289</v>
      </c>
      <c r="D19" s="47">
        <v>95</v>
      </c>
      <c r="E19" s="52"/>
      <c r="F19" s="42"/>
      <c r="G19" s="51">
        <v>198</v>
      </c>
      <c r="H19" s="51">
        <v>102</v>
      </c>
      <c r="I19" s="47" t="s">
        <v>294</v>
      </c>
      <c r="J19" s="42"/>
      <c r="K19" s="42"/>
      <c r="L19" s="10"/>
    </row>
    <row r="20" spans="1:12">
      <c r="A20" s="47" t="s">
        <v>295</v>
      </c>
      <c r="B20" s="34" t="s">
        <v>276</v>
      </c>
      <c r="C20" s="47"/>
      <c r="D20" s="47">
        <v>0</v>
      </c>
      <c r="E20" s="52"/>
      <c r="F20" s="42"/>
      <c r="G20" s="51">
        <v>250</v>
      </c>
      <c r="H20" s="51">
        <v>50</v>
      </c>
      <c r="I20" s="47" t="s">
        <v>296</v>
      </c>
      <c r="J20" s="42"/>
      <c r="K20" s="42"/>
      <c r="L20" s="10"/>
    </row>
    <row r="21" spans="1:12">
      <c r="A21" s="47" t="s">
        <v>297</v>
      </c>
      <c r="B21" s="34" t="s">
        <v>273</v>
      </c>
      <c r="C21" s="47" t="s">
        <v>289</v>
      </c>
      <c r="D21" s="47">
        <v>85</v>
      </c>
      <c r="E21" s="52"/>
      <c r="F21" s="42"/>
      <c r="G21" s="51">
        <v>98</v>
      </c>
      <c r="H21" s="51">
        <v>202</v>
      </c>
      <c r="I21" s="47" t="s">
        <v>298</v>
      </c>
      <c r="J21" s="42"/>
      <c r="K21" s="42"/>
      <c r="L21" s="10"/>
    </row>
    <row r="22" spans="1:12">
      <c r="A22" s="47" t="s">
        <v>299</v>
      </c>
      <c r="B22" s="34" t="s">
        <v>273</v>
      </c>
      <c r="C22" s="47" t="s">
        <v>289</v>
      </c>
      <c r="D22" s="47">
        <v>80</v>
      </c>
      <c r="E22" s="52"/>
      <c r="F22" s="42"/>
      <c r="G22" s="51">
        <v>154</v>
      </c>
      <c r="H22" s="51">
        <v>146</v>
      </c>
      <c r="I22" s="47" t="s">
        <v>300</v>
      </c>
      <c r="J22" s="42"/>
      <c r="K22" s="42"/>
      <c r="L22" s="10"/>
    </row>
    <row r="23" spans="1:12">
      <c r="A23" s="47" t="s">
        <v>301</v>
      </c>
      <c r="B23" s="34" t="s">
        <v>258</v>
      </c>
      <c r="C23" s="47"/>
      <c r="D23" s="47">
        <v>0</v>
      </c>
      <c r="E23" s="52"/>
      <c r="F23" s="42"/>
      <c r="G23" s="51">
        <v>253</v>
      </c>
      <c r="H23" s="51">
        <v>47</v>
      </c>
      <c r="I23" s="47" t="s">
        <v>302</v>
      </c>
      <c r="J23" s="60" t="s">
        <v>328</v>
      </c>
      <c r="K23" s="60"/>
      <c r="L23" s="10"/>
    </row>
    <row r="24" spans="1:12">
      <c r="A24" s="47" t="s">
        <v>303</v>
      </c>
      <c r="B24" s="34" t="s">
        <v>276</v>
      </c>
      <c r="C24" s="47" t="s">
        <v>289</v>
      </c>
      <c r="D24" s="47">
        <v>85</v>
      </c>
      <c r="E24" s="52"/>
      <c r="F24" s="42"/>
      <c r="G24" s="51">
        <v>210</v>
      </c>
      <c r="H24" s="51">
        <v>90</v>
      </c>
      <c r="I24" s="47" t="s">
        <v>304</v>
      </c>
      <c r="J24" s="61" t="str">
        <f>VLOOKUP(LARGE(G17:G24,1),G17:I24,3,FALSE)</f>
        <v>마법사</v>
      </c>
      <c r="K24" s="61"/>
      <c r="L24" s="10"/>
    </row>
    <row r="25" spans="1:12">
      <c r="A25" s="47" t="s">
        <v>305</v>
      </c>
      <c r="B25" s="34" t="s">
        <v>273</v>
      </c>
      <c r="C25" s="47"/>
      <c r="D25" s="47">
        <v>0</v>
      </c>
      <c r="E25" s="52"/>
      <c r="F25" s="42"/>
      <c r="G25" s="42"/>
      <c r="H25" s="42"/>
      <c r="I25" s="42"/>
      <c r="J25" s="42"/>
      <c r="K25" s="42"/>
      <c r="L25" s="10"/>
    </row>
    <row r="26" spans="1:12">
      <c r="A26" s="47" t="s">
        <v>306</v>
      </c>
      <c r="B26" s="34" t="s">
        <v>276</v>
      </c>
      <c r="C26" s="47" t="s">
        <v>289</v>
      </c>
      <c r="D26" s="47">
        <v>95</v>
      </c>
      <c r="E26" s="52"/>
      <c r="F26" s="42"/>
      <c r="G26" s="42"/>
      <c r="H26" s="42"/>
      <c r="I26" s="42"/>
      <c r="J26" s="42"/>
      <c r="K26" s="42"/>
      <c r="L26" s="10"/>
    </row>
    <row r="27" spans="1:12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10"/>
    </row>
    <row r="28" spans="1:12">
      <c r="A28" s="53" t="s">
        <v>333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10"/>
    </row>
    <row r="29" spans="1:12">
      <c r="A29" s="49" t="s">
        <v>307</v>
      </c>
      <c r="B29" s="47" t="s">
        <v>308</v>
      </c>
      <c r="C29" s="47" t="s">
        <v>309</v>
      </c>
      <c r="D29" s="48" t="s">
        <v>310</v>
      </c>
      <c r="E29" s="42"/>
      <c r="F29" s="42"/>
      <c r="G29" s="42"/>
      <c r="H29" s="42"/>
      <c r="I29" s="42"/>
      <c r="J29" s="42"/>
      <c r="K29" s="42"/>
      <c r="L29" s="10"/>
    </row>
    <row r="30" spans="1:12">
      <c r="A30" s="46" t="s">
        <v>311</v>
      </c>
      <c r="B30" s="47" t="s">
        <v>312</v>
      </c>
      <c r="C30" s="34" t="s">
        <v>276</v>
      </c>
      <c r="D30" s="47" t="str">
        <f t="shared" ref="D30:D39" si="0">MID(B30,1,SEARCH("-",B30)-1)</f>
        <v>880808</v>
      </c>
      <c r="E30" s="42"/>
      <c r="F30" s="42"/>
      <c r="G30" s="42"/>
      <c r="H30" s="42"/>
      <c r="I30" s="42"/>
      <c r="J30" s="42"/>
      <c r="K30" s="42"/>
      <c r="L30" s="10"/>
    </row>
    <row r="31" spans="1:12">
      <c r="A31" s="46" t="s">
        <v>313</v>
      </c>
      <c r="B31" s="47" t="s">
        <v>314</v>
      </c>
      <c r="C31" s="34" t="s">
        <v>273</v>
      </c>
      <c r="D31" s="47" t="str">
        <f t="shared" si="0"/>
        <v>920214</v>
      </c>
      <c r="E31" s="42"/>
      <c r="F31" s="42"/>
      <c r="G31" s="42"/>
      <c r="H31" s="42"/>
      <c r="I31" s="42"/>
      <c r="J31" s="42"/>
      <c r="K31" s="42"/>
      <c r="L31" s="10"/>
    </row>
    <row r="32" spans="1:12">
      <c r="A32" s="46" t="s">
        <v>315</v>
      </c>
      <c r="B32" s="47" t="s">
        <v>316</v>
      </c>
      <c r="C32" s="34" t="s">
        <v>273</v>
      </c>
      <c r="D32" s="47" t="str">
        <f t="shared" si="0"/>
        <v>900513</v>
      </c>
      <c r="E32" s="42"/>
      <c r="F32" s="42"/>
      <c r="G32" s="42"/>
      <c r="H32" s="42"/>
      <c r="I32" s="42"/>
      <c r="J32" s="42"/>
      <c r="K32" s="42"/>
      <c r="L32" s="10"/>
    </row>
    <row r="33" spans="1:12">
      <c r="A33" s="46" t="s">
        <v>317</v>
      </c>
      <c r="B33" s="47" t="s">
        <v>318</v>
      </c>
      <c r="C33" s="34" t="s">
        <v>276</v>
      </c>
      <c r="D33" s="47" t="str">
        <f t="shared" si="0"/>
        <v>980624</v>
      </c>
      <c r="E33" s="42"/>
      <c r="F33" s="42"/>
      <c r="G33" s="42"/>
      <c r="H33" s="42"/>
      <c r="I33" s="42"/>
      <c r="J33" s="42"/>
      <c r="K33" s="42"/>
      <c r="L33" s="10"/>
    </row>
    <row r="34" spans="1:12">
      <c r="A34" s="46" t="s">
        <v>319</v>
      </c>
      <c r="B34" s="47" t="s">
        <v>320</v>
      </c>
      <c r="C34" s="34" t="s">
        <v>273</v>
      </c>
      <c r="D34" s="47" t="str">
        <f t="shared" si="0"/>
        <v>880507</v>
      </c>
      <c r="E34" s="42"/>
      <c r="F34" s="42"/>
      <c r="G34" s="42"/>
      <c r="H34" s="42"/>
      <c r="I34" s="42"/>
      <c r="J34" s="42"/>
      <c r="K34" s="42"/>
      <c r="L34" s="10"/>
    </row>
    <row r="35" spans="1:12">
      <c r="A35" s="46" t="s">
        <v>257</v>
      </c>
      <c r="B35" s="47" t="s">
        <v>321</v>
      </c>
      <c r="C35" s="34" t="s">
        <v>258</v>
      </c>
      <c r="D35" s="47" t="str">
        <f t="shared" si="0"/>
        <v>780923</v>
      </c>
      <c r="E35" s="42"/>
      <c r="F35" s="42"/>
      <c r="G35" s="42"/>
      <c r="H35" s="42"/>
      <c r="I35" s="42"/>
      <c r="J35" s="42"/>
      <c r="K35" s="42"/>
      <c r="L35" s="10"/>
    </row>
    <row r="36" spans="1:12">
      <c r="A36" s="46" t="s">
        <v>264</v>
      </c>
      <c r="B36" s="47" t="s">
        <v>322</v>
      </c>
      <c r="C36" s="34" t="s">
        <v>273</v>
      </c>
      <c r="D36" s="47" t="str">
        <f t="shared" si="0"/>
        <v>010819</v>
      </c>
      <c r="E36" s="42"/>
      <c r="F36" s="42"/>
      <c r="G36" s="42"/>
      <c r="H36" s="42"/>
      <c r="I36" s="42"/>
      <c r="J36" s="42"/>
      <c r="K36" s="42"/>
      <c r="L36" s="10"/>
    </row>
    <row r="37" spans="1:12">
      <c r="A37" s="46" t="s">
        <v>268</v>
      </c>
      <c r="B37" s="47" t="s">
        <v>323</v>
      </c>
      <c r="C37" s="34" t="s">
        <v>227</v>
      </c>
      <c r="D37" s="47" t="str">
        <f t="shared" si="0"/>
        <v>020901</v>
      </c>
      <c r="E37" s="42"/>
      <c r="F37" s="42"/>
      <c r="G37" s="42"/>
      <c r="H37" s="42"/>
      <c r="I37" s="42"/>
      <c r="J37" s="42"/>
      <c r="K37" s="42"/>
      <c r="L37" s="10"/>
    </row>
    <row r="38" spans="1:12">
      <c r="A38" s="46" t="s">
        <v>324</v>
      </c>
      <c r="B38" s="47" t="s">
        <v>325</v>
      </c>
      <c r="C38" s="34" t="s">
        <v>258</v>
      </c>
      <c r="D38" s="47" t="str">
        <f t="shared" si="0"/>
        <v>850505</v>
      </c>
      <c r="E38" s="42"/>
      <c r="F38" s="42"/>
      <c r="G38" s="42"/>
      <c r="H38" s="42"/>
      <c r="I38" s="42"/>
      <c r="J38" s="42"/>
      <c r="K38" s="42"/>
      <c r="L38" s="10"/>
    </row>
    <row r="39" spans="1:12">
      <c r="A39" s="46" t="s">
        <v>326</v>
      </c>
      <c r="B39" s="47" t="s">
        <v>327</v>
      </c>
      <c r="C39" s="34" t="s">
        <v>227</v>
      </c>
      <c r="D39" s="47" t="str">
        <f t="shared" si="0"/>
        <v>990909</v>
      </c>
      <c r="E39" s="42"/>
      <c r="F39" s="42"/>
      <c r="G39" s="42"/>
      <c r="H39" s="42"/>
      <c r="I39" s="42"/>
      <c r="J39" s="42"/>
      <c r="K39" s="42"/>
      <c r="L39" s="10"/>
    </row>
    <row r="40" spans="1:12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10"/>
    </row>
    <row r="41" spans="1:12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</row>
    <row r="42" spans="1:12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</row>
  </sheetData>
  <mergeCells count="3">
    <mergeCell ref="A13:D13"/>
    <mergeCell ref="J23:K23"/>
    <mergeCell ref="J24:K24"/>
  </mergeCells>
  <phoneticPr fontId="1" type="noConversion"/>
  <conditionalFormatting sqref="B3:B12">
    <cfRule type="uniqueValues" dxfId="2" priority="3"/>
  </conditionalFormatting>
  <conditionalFormatting sqref="B17:B26">
    <cfRule type="uniqueValues" dxfId="1" priority="2"/>
  </conditionalFormatting>
  <conditionalFormatting sqref="C30:C39">
    <cfRule type="uniqu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6"/>
  <sheetViews>
    <sheetView workbookViewId="0"/>
  </sheetViews>
  <sheetFormatPr defaultRowHeight="16.5"/>
  <cols>
    <col min="1" max="1" width="8.625" style="10" customWidth="1"/>
    <col min="2" max="2" width="14.625" customWidth="1"/>
    <col min="3" max="4" width="10" bestFit="1" customWidth="1"/>
    <col min="5" max="5" width="2.625" customWidth="1"/>
    <col min="6" max="6" width="14.625" style="10" customWidth="1"/>
    <col min="7" max="7" width="14.625" customWidth="1"/>
    <col min="8" max="9" width="10" bestFit="1" customWidth="1"/>
  </cols>
  <sheetData>
    <row r="1" spans="1:9">
      <c r="A1" s="11" t="s">
        <v>125</v>
      </c>
      <c r="C1" s="14"/>
      <c r="D1" s="14"/>
      <c r="E1" s="11"/>
      <c r="F1" s="11" t="s">
        <v>126</v>
      </c>
      <c r="H1" s="14"/>
      <c r="I1" s="14"/>
    </row>
    <row r="2" spans="1:9">
      <c r="A2" s="19" t="s">
        <v>190</v>
      </c>
      <c r="B2" s="12" t="s">
        <v>118</v>
      </c>
      <c r="C2" s="15" t="s">
        <v>119</v>
      </c>
      <c r="D2" s="15" t="s">
        <v>120</v>
      </c>
      <c r="E2" s="11"/>
      <c r="F2" s="13" t="s">
        <v>198</v>
      </c>
      <c r="G2" s="12" t="s">
        <v>118</v>
      </c>
      <c r="H2" s="15" t="s">
        <v>119</v>
      </c>
      <c r="I2" s="15" t="s">
        <v>120</v>
      </c>
    </row>
    <row r="3" spans="1:9">
      <c r="A3" s="19" t="s">
        <v>197</v>
      </c>
      <c r="B3" s="12" t="s">
        <v>121</v>
      </c>
      <c r="C3" s="16">
        <v>36</v>
      </c>
      <c r="D3" s="16">
        <v>189000</v>
      </c>
      <c r="E3" s="11"/>
      <c r="F3" s="13" t="s">
        <v>199</v>
      </c>
      <c r="G3" s="12" t="s">
        <v>121</v>
      </c>
      <c r="H3" s="16">
        <v>55</v>
      </c>
      <c r="I3" s="16">
        <v>149000</v>
      </c>
    </row>
    <row r="4" spans="1:9">
      <c r="A4" s="19" t="s">
        <v>191</v>
      </c>
      <c r="B4" s="12" t="s">
        <v>122</v>
      </c>
      <c r="C4" s="16">
        <v>15</v>
      </c>
      <c r="D4" s="16">
        <v>249000</v>
      </c>
      <c r="E4" s="11"/>
      <c r="F4" s="13" t="s">
        <v>193</v>
      </c>
      <c r="G4" s="12" t="s">
        <v>122</v>
      </c>
      <c r="H4" s="16">
        <v>8</v>
      </c>
      <c r="I4" s="16">
        <v>240000</v>
      </c>
    </row>
    <row r="5" spans="1:9">
      <c r="A5" s="19" t="s">
        <v>194</v>
      </c>
      <c r="B5" s="12" t="s">
        <v>123</v>
      </c>
      <c r="C5" s="16">
        <v>20</v>
      </c>
      <c r="D5" s="16">
        <v>118800</v>
      </c>
      <c r="E5" s="11"/>
      <c r="F5" s="13" t="s">
        <v>201</v>
      </c>
      <c r="G5" s="12" t="s">
        <v>128</v>
      </c>
      <c r="H5" s="16">
        <v>13</v>
      </c>
      <c r="I5" s="16">
        <v>46000</v>
      </c>
    </row>
    <row r="6" spans="1:9">
      <c r="A6" s="19" t="s">
        <v>195</v>
      </c>
      <c r="B6" s="12" t="s">
        <v>124</v>
      </c>
      <c r="C6" s="16">
        <v>45</v>
      </c>
      <c r="D6" s="16">
        <v>58700</v>
      </c>
      <c r="E6" s="11"/>
      <c r="F6" s="13" t="s">
        <v>196</v>
      </c>
      <c r="G6" s="12" t="s">
        <v>129</v>
      </c>
      <c r="H6" s="16">
        <v>350</v>
      </c>
      <c r="I6" s="16">
        <v>400</v>
      </c>
    </row>
    <row r="7" spans="1:9">
      <c r="B7" s="11"/>
      <c r="C7" s="14"/>
      <c r="D7" s="14"/>
      <c r="E7" s="11"/>
      <c r="F7" s="11"/>
      <c r="G7" s="11"/>
      <c r="H7" s="14"/>
      <c r="I7" s="14"/>
    </row>
    <row r="8" spans="1:9">
      <c r="A8" s="11" t="s">
        <v>127</v>
      </c>
      <c r="C8" s="14"/>
      <c r="D8" s="14"/>
      <c r="E8" s="11"/>
      <c r="F8" s="17" t="s">
        <v>212</v>
      </c>
      <c r="G8" s="14"/>
      <c r="H8" s="14"/>
    </row>
    <row r="9" spans="1:9">
      <c r="A9" s="19" t="s">
        <v>198</v>
      </c>
      <c r="B9" s="12" t="s">
        <v>118</v>
      </c>
      <c r="C9" s="15" t="s">
        <v>119</v>
      </c>
      <c r="D9" s="15" t="s">
        <v>120</v>
      </c>
      <c r="E9" s="11"/>
      <c r="F9" s="12" t="s">
        <v>118</v>
      </c>
      <c r="G9" s="15" t="s">
        <v>119</v>
      </c>
      <c r="H9" s="15" t="s">
        <v>120</v>
      </c>
    </row>
    <row r="10" spans="1:9">
      <c r="A10" s="19" t="s">
        <v>200</v>
      </c>
      <c r="B10" s="12" t="s">
        <v>121</v>
      </c>
      <c r="C10" s="16">
        <v>24</v>
      </c>
      <c r="D10" s="16">
        <v>78000</v>
      </c>
      <c r="E10" s="11"/>
      <c r="F10" s="13" t="s">
        <v>203</v>
      </c>
      <c r="G10" s="18">
        <v>115</v>
      </c>
      <c r="H10" s="18">
        <v>416000</v>
      </c>
    </row>
    <row r="11" spans="1:9">
      <c r="A11" s="19" t="s">
        <v>192</v>
      </c>
      <c r="B11" s="12" t="s">
        <v>122</v>
      </c>
      <c r="C11" s="16">
        <v>41</v>
      </c>
      <c r="D11" s="16">
        <v>150000</v>
      </c>
      <c r="E11" s="11"/>
      <c r="F11" s="13" t="s">
        <v>204</v>
      </c>
      <c r="G11" s="18">
        <v>64</v>
      </c>
      <c r="H11" s="18">
        <v>639000</v>
      </c>
    </row>
    <row r="12" spans="1:9">
      <c r="A12" s="19" t="s">
        <v>202</v>
      </c>
      <c r="B12" s="12" t="s">
        <v>130</v>
      </c>
      <c r="C12" s="16">
        <v>35</v>
      </c>
      <c r="D12" s="16">
        <v>57000</v>
      </c>
      <c r="E12" s="11"/>
      <c r="F12" s="13" t="s">
        <v>205</v>
      </c>
      <c r="G12" s="18">
        <v>20</v>
      </c>
      <c r="H12" s="18">
        <v>118800</v>
      </c>
    </row>
    <row r="13" spans="1:9">
      <c r="A13" s="19" t="s">
        <v>194</v>
      </c>
      <c r="B13" s="12" t="s">
        <v>131</v>
      </c>
      <c r="C13" s="16">
        <v>22</v>
      </c>
      <c r="D13" s="16">
        <v>109000</v>
      </c>
      <c r="E13" s="11"/>
      <c r="F13" s="13" t="s">
        <v>206</v>
      </c>
      <c r="G13" s="18">
        <v>35</v>
      </c>
      <c r="H13" s="18">
        <v>57000</v>
      </c>
    </row>
    <row r="14" spans="1:9">
      <c r="B14" s="11"/>
      <c r="C14" s="14"/>
      <c r="D14" s="14"/>
      <c r="E14" s="11"/>
      <c r="F14" s="13" t="s">
        <v>207</v>
      </c>
      <c r="G14" s="18">
        <v>67</v>
      </c>
      <c r="H14" s="18">
        <v>167700</v>
      </c>
    </row>
    <row r="15" spans="1:9">
      <c r="B15" s="11"/>
      <c r="C15" s="14"/>
      <c r="D15" s="14"/>
      <c r="E15" s="11"/>
      <c r="F15" s="13" t="s">
        <v>208</v>
      </c>
      <c r="G15" s="18">
        <v>13</v>
      </c>
      <c r="H15" s="18">
        <v>46000</v>
      </c>
    </row>
    <row r="16" spans="1:9">
      <c r="B16" s="11"/>
      <c r="C16" s="14"/>
      <c r="D16" s="14"/>
      <c r="E16" s="11"/>
      <c r="F16" s="13" t="s">
        <v>209</v>
      </c>
      <c r="G16" s="18">
        <v>350</v>
      </c>
      <c r="H16" s="18">
        <v>400</v>
      </c>
    </row>
  </sheetData>
  <dataConsolidate topLabels="1">
    <dataRefs count="3">
      <dataRef ref="B2:D6" sheet="분석작업-1"/>
      <dataRef ref="G2:I6" sheet="분석작업-1"/>
      <dataRef ref="B9:D13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2"/>
  <sheetViews>
    <sheetView workbookViewId="0"/>
  </sheetViews>
  <sheetFormatPr defaultRowHeight="16.5"/>
  <cols>
    <col min="1" max="1" width="10.375" customWidth="1"/>
    <col min="2" max="2" width="11.625" bestFit="1" customWidth="1"/>
    <col min="5" max="10" width="12.25" customWidth="1"/>
  </cols>
  <sheetData>
    <row r="1" spans="1:10">
      <c r="A1" s="4"/>
    </row>
    <row r="2" spans="1:10">
      <c r="A2" s="62" t="s">
        <v>210</v>
      </c>
      <c r="B2" s="62"/>
      <c r="C2" s="5"/>
      <c r="E2" s="6" t="s">
        <v>211</v>
      </c>
      <c r="F2" s="5"/>
      <c r="G2" s="5"/>
      <c r="H2" s="5"/>
      <c r="I2" s="5"/>
      <c r="J2" s="7"/>
    </row>
    <row r="3" spans="1:10">
      <c r="A3" s="1" t="s">
        <v>50</v>
      </c>
      <c r="B3" s="2">
        <v>5100</v>
      </c>
      <c r="C3" s="5"/>
      <c r="D3" s="5"/>
      <c r="E3" s="5"/>
      <c r="F3" s="63" t="s">
        <v>51</v>
      </c>
      <c r="G3" s="63"/>
      <c r="H3" s="63"/>
      <c r="I3" s="63"/>
      <c r="J3" s="63"/>
    </row>
    <row r="4" spans="1:10">
      <c r="A4" s="1" t="s">
        <v>51</v>
      </c>
      <c r="B4" s="2">
        <v>2000</v>
      </c>
      <c r="C4" s="5"/>
      <c r="D4" s="5"/>
      <c r="E4" s="2">
        <f>B10</f>
        <v>2620000</v>
      </c>
      <c r="F4" s="2">
        <v>1500</v>
      </c>
      <c r="G4" s="2">
        <v>2500</v>
      </c>
      <c r="H4" s="2">
        <v>3500</v>
      </c>
      <c r="I4" s="2">
        <v>4500</v>
      </c>
      <c r="J4" s="2">
        <v>5500</v>
      </c>
    </row>
    <row r="5" spans="1:10">
      <c r="A5" s="1" t="s">
        <v>52</v>
      </c>
      <c r="B5" s="2">
        <f>B3*B4</f>
        <v>10200000</v>
      </c>
      <c r="C5" s="5"/>
      <c r="D5" s="64" t="s">
        <v>53</v>
      </c>
      <c r="E5" s="2">
        <v>4000</v>
      </c>
      <c r="F5" s="2">
        <f t="dataTable" ref="F5:J9" dt2D="1" dtr="1" r1="B4" r2="B3"/>
        <v>100000</v>
      </c>
      <c r="G5" s="2">
        <v>2500000</v>
      </c>
      <c r="H5" s="2">
        <v>4900000</v>
      </c>
      <c r="I5" s="2">
        <v>7300000</v>
      </c>
      <c r="J5" s="2">
        <v>9700000</v>
      </c>
    </row>
    <row r="6" spans="1:10">
      <c r="A6" s="1" t="s">
        <v>54</v>
      </c>
      <c r="B6" s="2">
        <f>B3*0.3*B4</f>
        <v>3060000</v>
      </c>
      <c r="C6" s="5"/>
      <c r="D6" s="64"/>
      <c r="E6" s="2">
        <v>4500</v>
      </c>
      <c r="F6" s="2">
        <v>550000</v>
      </c>
      <c r="G6" s="2">
        <v>3250000</v>
      </c>
      <c r="H6" s="2">
        <v>5950000</v>
      </c>
      <c r="I6" s="2">
        <v>8650000</v>
      </c>
      <c r="J6" s="2">
        <v>11350000</v>
      </c>
    </row>
    <row r="7" spans="1:10">
      <c r="A7" s="1" t="s">
        <v>55</v>
      </c>
      <c r="B7" s="2">
        <f>B5*0.1</f>
        <v>1020000</v>
      </c>
      <c r="C7" s="5"/>
      <c r="D7" s="64"/>
      <c r="E7" s="2">
        <v>5000</v>
      </c>
      <c r="F7" s="2">
        <v>1000000</v>
      </c>
      <c r="G7" s="2">
        <v>4000000</v>
      </c>
      <c r="H7" s="2">
        <v>7000000</v>
      </c>
      <c r="I7" s="2">
        <v>10000000</v>
      </c>
      <c r="J7" s="2">
        <v>13000000</v>
      </c>
    </row>
    <row r="8" spans="1:10">
      <c r="A8" s="1" t="s">
        <v>56</v>
      </c>
      <c r="B8" s="2">
        <v>1500000</v>
      </c>
      <c r="C8" s="5"/>
      <c r="D8" s="64"/>
      <c r="E8" s="2">
        <v>5500</v>
      </c>
      <c r="F8" s="2">
        <v>1450000</v>
      </c>
      <c r="G8" s="2">
        <v>4750000</v>
      </c>
      <c r="H8" s="2">
        <v>8050000</v>
      </c>
      <c r="I8" s="2">
        <v>11350000</v>
      </c>
      <c r="J8" s="2">
        <v>14650000</v>
      </c>
    </row>
    <row r="9" spans="1:10">
      <c r="A9" s="1" t="s">
        <v>57</v>
      </c>
      <c r="B9" s="2">
        <v>2000000</v>
      </c>
      <c r="C9" s="5"/>
      <c r="D9" s="64"/>
      <c r="E9" s="2">
        <v>6000</v>
      </c>
      <c r="F9" s="2">
        <v>1900000</v>
      </c>
      <c r="G9" s="2">
        <v>5500000</v>
      </c>
      <c r="H9" s="2">
        <v>9100000</v>
      </c>
      <c r="I9" s="2">
        <v>12700000</v>
      </c>
      <c r="J9" s="2">
        <v>16300000</v>
      </c>
    </row>
    <row r="10" spans="1:10">
      <c r="A10" s="1" t="s">
        <v>58</v>
      </c>
      <c r="B10" s="2">
        <f>B5-SUM(B6:B9)</f>
        <v>2620000</v>
      </c>
      <c r="C10" s="5"/>
      <c r="D10" s="5"/>
      <c r="E10" s="5"/>
      <c r="F10" s="5"/>
      <c r="G10" s="7"/>
    </row>
    <row r="11" spans="1:10">
      <c r="A11" s="5"/>
      <c r="B11" s="5"/>
      <c r="C11" s="5"/>
      <c r="D11" s="5"/>
      <c r="E11" s="5"/>
      <c r="F11" s="5"/>
      <c r="G11" s="7"/>
    </row>
    <row r="12" spans="1:10">
      <c r="A12" s="5"/>
      <c r="B12" s="5"/>
      <c r="C12" s="5"/>
      <c r="D12" s="5"/>
      <c r="E12" s="5"/>
      <c r="F12" s="5"/>
      <c r="G12" s="7"/>
    </row>
  </sheetData>
  <mergeCells count="3">
    <mergeCell ref="A2:B2"/>
    <mergeCell ref="F3:J3"/>
    <mergeCell ref="D5:D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5"/>
  <sheetViews>
    <sheetView workbookViewId="0"/>
  </sheetViews>
  <sheetFormatPr defaultRowHeight="16.5"/>
  <sheetData>
    <row r="1" spans="1:7" ht="20.25">
      <c r="A1" s="65" t="s">
        <v>114</v>
      </c>
      <c r="B1" s="65"/>
      <c r="C1" s="65"/>
      <c r="D1" s="65"/>
      <c r="E1" s="65"/>
      <c r="F1" s="65"/>
      <c r="G1" s="65"/>
    </row>
    <row r="3" spans="1:7">
      <c r="A3" s="30" t="s">
        <v>98</v>
      </c>
      <c r="B3" s="30" t="s">
        <v>100</v>
      </c>
      <c r="C3" s="30" t="s">
        <v>116</v>
      </c>
      <c r="D3" s="30" t="s">
        <v>115</v>
      </c>
      <c r="E3" s="30" t="s">
        <v>117</v>
      </c>
      <c r="F3" s="30" t="s">
        <v>113</v>
      </c>
      <c r="G3" s="30" t="s">
        <v>99</v>
      </c>
    </row>
    <row r="4" spans="1:7">
      <c r="A4" s="1">
        <v>2024001</v>
      </c>
      <c r="B4" s="1" t="s">
        <v>101</v>
      </c>
      <c r="C4" s="1">
        <v>58</v>
      </c>
      <c r="D4" s="1">
        <v>24</v>
      </c>
      <c r="E4" s="1">
        <v>60</v>
      </c>
      <c r="F4" s="1">
        <v>6</v>
      </c>
      <c r="G4" s="1">
        <f>C4*0.4+D4+E4*0.6+F4</f>
        <v>89.2</v>
      </c>
    </row>
    <row r="5" spans="1:7">
      <c r="A5" s="1">
        <v>2024002</v>
      </c>
      <c r="B5" s="1" t="s">
        <v>102</v>
      </c>
      <c r="C5" s="1">
        <v>60</v>
      </c>
      <c r="D5" s="1">
        <v>26</v>
      </c>
      <c r="E5" s="1">
        <v>58</v>
      </c>
      <c r="F5" s="1">
        <v>8</v>
      </c>
      <c r="G5" s="31">
        <f t="shared" ref="G5:G15" si="0">C5*0.4+D5+E5*0.6+F5</f>
        <v>92.8</v>
      </c>
    </row>
    <row r="6" spans="1:7">
      <c r="A6" s="1">
        <v>2024003</v>
      </c>
      <c r="B6" s="1" t="s">
        <v>103</v>
      </c>
      <c r="C6" s="1">
        <v>34</v>
      </c>
      <c r="D6" s="1">
        <v>28</v>
      </c>
      <c r="E6" s="1">
        <v>52</v>
      </c>
      <c r="F6" s="1">
        <v>10</v>
      </c>
      <c r="G6" s="31">
        <f t="shared" si="0"/>
        <v>82.8</v>
      </c>
    </row>
    <row r="7" spans="1:7">
      <c r="A7" s="1">
        <v>2024004</v>
      </c>
      <c r="B7" s="1" t="s">
        <v>104</v>
      </c>
      <c r="C7" s="1">
        <v>56</v>
      </c>
      <c r="D7" s="1">
        <v>25</v>
      </c>
      <c r="E7" s="1">
        <v>54</v>
      </c>
      <c r="F7" s="1">
        <v>8</v>
      </c>
      <c r="G7" s="31">
        <f t="shared" si="0"/>
        <v>87.800000000000011</v>
      </c>
    </row>
    <row r="8" spans="1:7">
      <c r="A8" s="1">
        <v>2024005</v>
      </c>
      <c r="B8" s="1" t="s">
        <v>105</v>
      </c>
      <c r="C8" s="1">
        <v>56</v>
      </c>
      <c r="D8" s="1">
        <v>18</v>
      </c>
      <c r="E8" s="1">
        <v>56</v>
      </c>
      <c r="F8" s="1">
        <v>9</v>
      </c>
      <c r="G8" s="31">
        <f t="shared" si="0"/>
        <v>83</v>
      </c>
    </row>
    <row r="9" spans="1:7">
      <c r="A9" s="1">
        <v>2024006</v>
      </c>
      <c r="B9" s="1" t="s">
        <v>106</v>
      </c>
      <c r="C9" s="1">
        <v>48</v>
      </c>
      <c r="D9" s="1">
        <v>16</v>
      </c>
      <c r="E9" s="1">
        <v>30</v>
      </c>
      <c r="F9" s="1">
        <v>7</v>
      </c>
      <c r="G9" s="31">
        <f t="shared" si="0"/>
        <v>60.2</v>
      </c>
    </row>
    <row r="10" spans="1:7">
      <c r="A10" s="1">
        <v>2024007</v>
      </c>
      <c r="B10" s="1" t="s">
        <v>107</v>
      </c>
      <c r="C10" s="1">
        <v>52</v>
      </c>
      <c r="D10" s="1">
        <v>30</v>
      </c>
      <c r="E10" s="1">
        <v>58</v>
      </c>
      <c r="F10" s="1">
        <v>9</v>
      </c>
      <c r="G10" s="31">
        <f t="shared" si="0"/>
        <v>94.6</v>
      </c>
    </row>
    <row r="11" spans="1:7">
      <c r="A11" s="1">
        <v>2024008</v>
      </c>
      <c r="B11" s="1" t="s">
        <v>108</v>
      </c>
      <c r="C11" s="1">
        <v>51</v>
      </c>
      <c r="D11" s="1">
        <v>26</v>
      </c>
      <c r="E11" s="1">
        <v>57</v>
      </c>
      <c r="F11" s="1">
        <v>5</v>
      </c>
      <c r="G11" s="31">
        <f t="shared" si="0"/>
        <v>85.6</v>
      </c>
    </row>
    <row r="12" spans="1:7">
      <c r="A12" s="1">
        <v>2024009</v>
      </c>
      <c r="B12" s="1" t="s">
        <v>109</v>
      </c>
      <c r="C12" s="1">
        <v>38</v>
      </c>
      <c r="D12" s="1">
        <v>25</v>
      </c>
      <c r="E12" s="1">
        <v>60</v>
      </c>
      <c r="F12" s="1">
        <v>8</v>
      </c>
      <c r="G12" s="31">
        <f t="shared" si="0"/>
        <v>84.2</v>
      </c>
    </row>
    <row r="13" spans="1:7">
      <c r="A13" s="1">
        <v>2024010</v>
      </c>
      <c r="B13" s="1" t="s">
        <v>110</v>
      </c>
      <c r="C13" s="1">
        <v>57</v>
      </c>
      <c r="D13" s="1">
        <v>22</v>
      </c>
      <c r="E13" s="1">
        <v>57</v>
      </c>
      <c r="F13" s="1">
        <v>7</v>
      </c>
      <c r="G13" s="31">
        <f t="shared" si="0"/>
        <v>86</v>
      </c>
    </row>
    <row r="14" spans="1:7">
      <c r="A14" s="1">
        <v>2024011</v>
      </c>
      <c r="B14" s="1" t="s">
        <v>111</v>
      </c>
      <c r="C14" s="1">
        <v>36</v>
      </c>
      <c r="D14" s="1">
        <v>27</v>
      </c>
      <c r="E14" s="1">
        <v>38</v>
      </c>
      <c r="F14" s="1">
        <v>9</v>
      </c>
      <c r="G14" s="31">
        <f t="shared" si="0"/>
        <v>73.2</v>
      </c>
    </row>
    <row r="15" spans="1:7">
      <c r="A15" s="1">
        <v>2024012</v>
      </c>
      <c r="B15" s="1" t="s">
        <v>112</v>
      </c>
      <c r="C15" s="1">
        <v>50</v>
      </c>
      <c r="D15" s="1">
        <v>16</v>
      </c>
      <c r="E15" s="1">
        <v>48</v>
      </c>
      <c r="F15" s="1">
        <v>10</v>
      </c>
      <c r="G15" s="31">
        <f t="shared" si="0"/>
        <v>74.8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합계">
                <anchor moveWithCells="1" sizeWithCells="1">
                  <from>
                    <xdr:col>7</xdr:col>
                    <xdr:colOff>657225</xdr:colOff>
                    <xdr:row>2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8"/>
  <sheetViews>
    <sheetView workbookViewId="0"/>
  </sheetViews>
  <sheetFormatPr defaultRowHeight="16.5"/>
  <cols>
    <col min="1" max="1" width="10.375" bestFit="1" customWidth="1"/>
    <col min="2" max="3" width="10.625" bestFit="1" customWidth="1"/>
  </cols>
  <sheetData>
    <row r="1" spans="1:3">
      <c r="A1" t="s">
        <v>213</v>
      </c>
    </row>
    <row r="2" spans="1:3" s="10" customFormat="1"/>
    <row r="3" spans="1:3">
      <c r="A3" s="1" t="s">
        <v>0</v>
      </c>
      <c r="B3" s="1" t="s">
        <v>1</v>
      </c>
      <c r="C3" s="1" t="s">
        <v>2</v>
      </c>
    </row>
    <row r="4" spans="1:3">
      <c r="A4" s="1" t="s">
        <v>3</v>
      </c>
      <c r="B4" s="2">
        <v>2350000</v>
      </c>
      <c r="C4" s="2">
        <f>IF(B4&gt;=2000000,B4*85%,B4*90%)</f>
        <v>1997500</v>
      </c>
    </row>
    <row r="5" spans="1:3">
      <c r="A5" s="1" t="s">
        <v>4</v>
      </c>
      <c r="B5" s="2">
        <v>1300000</v>
      </c>
      <c r="C5" s="2">
        <v>1031300</v>
      </c>
    </row>
    <row r="6" spans="1:3">
      <c r="A6" s="1" t="s">
        <v>5</v>
      </c>
      <c r="B6" s="2">
        <v>1800000</v>
      </c>
      <c r="C6" s="2">
        <v>1475600</v>
      </c>
    </row>
    <row r="7" spans="1:3">
      <c r="A7" s="1" t="s">
        <v>6</v>
      </c>
      <c r="B7" s="2">
        <v>3540000</v>
      </c>
      <c r="C7" s="2">
        <f t="shared" ref="C7" si="0">IF(B7&gt;=2000000,B7*85%,B7*90%)</f>
        <v>3009000</v>
      </c>
    </row>
    <row r="8" spans="1:3">
      <c r="A8" s="1" t="s">
        <v>7</v>
      </c>
      <c r="B8" s="2">
        <v>2500000</v>
      </c>
      <c r="C8" s="2">
        <v>2181900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2023-10-09T02:37:31Z</dcterms:modified>
</cp:coreProperties>
</file>