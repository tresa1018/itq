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19C34EC1-EC09-447A-A8C2-0D56FB275253}" xr6:coauthVersionLast="47" xr6:coauthVersionMax="47" xr10:uidLastSave="{00000000-0000-0000-0000-000000000000}"/>
  <bookViews>
    <workbookView xWindow="2370" yWindow="1260" windowWidth="19575" windowHeight="1422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판매현황" localSheetId="2">'기본작업-3'!#REF!</definedName>
    <definedName name="판매현황_1" localSheetId="2">'기본작업-3'!$A$3:$E$8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4" l="1" a="1"/>
  <c r="E4" i="4" s="1"/>
  <c r="E5" i="4" a="1"/>
  <c r="E5" i="4" s="1"/>
  <c r="E6" i="4" a="1"/>
  <c r="E6" i="4" s="1"/>
  <c r="E7" i="4" a="1"/>
  <c r="E7" i="4" s="1"/>
  <c r="E8" i="4" a="1"/>
  <c r="E8" i="4" s="1"/>
  <c r="E9" i="4" a="1"/>
  <c r="E9" i="4" s="1"/>
  <c r="E10" i="4" a="1"/>
  <c r="E10" i="4" s="1"/>
  <c r="E11" i="4" a="1"/>
  <c r="E11" i="4" s="1"/>
  <c r="E3" i="4" a="1"/>
  <c r="E3" i="4" s="1"/>
  <c r="K16" i="4" a="1"/>
  <c r="K16" i="4"/>
  <c r="K17" i="4" a="1"/>
  <c r="K17" i="4" s="1"/>
  <c r="K18" i="4" a="1"/>
  <c r="K18" i="4"/>
  <c r="K19" i="4" a="1"/>
  <c r="K19" i="4"/>
  <c r="K20" i="4" a="1"/>
  <c r="K20" i="4"/>
  <c r="K21" i="4" a="1"/>
  <c r="K21" i="4"/>
  <c r="K22" i="4" a="1"/>
  <c r="K22" i="4" s="1"/>
  <c r="K23" i="4" a="1"/>
  <c r="K23" i="4"/>
  <c r="K24" i="4" a="1"/>
  <c r="K24" i="4"/>
  <c r="K15" i="4" a="1"/>
  <c r="K15" i="4" s="1"/>
  <c r="E36" i="4"/>
  <c r="E35" i="4"/>
  <c r="E34" i="4"/>
  <c r="E33" i="4"/>
  <c r="E32" i="4"/>
  <c r="E31" i="4"/>
  <c r="E30" i="4"/>
  <c r="E29" i="4"/>
  <c r="E28" i="4"/>
  <c r="E24" i="4" l="1"/>
  <c r="E23" i="4"/>
  <c r="E22" i="4"/>
  <c r="E21" i="4"/>
  <c r="E20" i="4"/>
  <c r="E19" i="4"/>
  <c r="E18" i="4"/>
  <c r="E17" i="4"/>
  <c r="E16" i="4"/>
  <c r="E15" i="4"/>
  <c r="L11" i="4"/>
  <c r="L10" i="4"/>
  <c r="L9" i="4"/>
  <c r="L8" i="4"/>
  <c r="L7" i="4"/>
  <c r="L6" i="4"/>
  <c r="L5" i="4"/>
  <c r="L4" i="4"/>
  <c r="L3" i="4"/>
  <c r="E17" i="7" l="1"/>
  <c r="D17" i="7"/>
  <c r="G24" i="6" l="1"/>
  <c r="F24" i="6"/>
  <c r="G19" i="6"/>
  <c r="F19" i="6"/>
  <c r="G12" i="6"/>
  <c r="F12" i="6"/>
  <c r="G8" i="6"/>
  <c r="G26" i="6" s="1"/>
  <c r="F8" i="6"/>
  <c r="F26" i="6" s="1"/>
  <c r="D25" i="6"/>
  <c r="D13" i="6"/>
  <c r="D27" i="6" s="1"/>
  <c r="G15" i="2" l="1"/>
  <c r="F15" i="2"/>
  <c r="E15" i="2"/>
  <c r="D15" i="2"/>
  <c r="C15" i="2"/>
  <c r="B1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판매현황1" type="6" refreshedVersion="6" background="1" saveData="1">
    <textPr codePage="949" sourceFile="E:\영진(2022년)\기출예상문제집\2급\2급1회\판매현황.txt" tab="0" semicolon="1">
      <textFields count="5"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<sst xmlns="http://schemas.openxmlformats.org/spreadsheetml/2006/main" count="460" uniqueCount="342">
  <si>
    <t>제목</t>
    <phoneticPr fontId="3" type="noConversion"/>
  </si>
  <si>
    <t>지은이</t>
    <phoneticPr fontId="3" type="noConversion"/>
  </si>
  <si>
    <t>윌라 오디오북 도서 목록</t>
    <phoneticPr fontId="3" type="noConversion"/>
  </si>
  <si>
    <t>세금 내는 아이들</t>
    <phoneticPr fontId="3" type="noConversion"/>
  </si>
  <si>
    <t>방황하는 칼날</t>
    <phoneticPr fontId="3" type="noConversion"/>
  </si>
  <si>
    <t>아들아, 돈 공부해야 한다.</t>
    <phoneticPr fontId="3" type="noConversion"/>
  </si>
  <si>
    <t>신을 받으라</t>
    <phoneticPr fontId="3" type="noConversion"/>
  </si>
  <si>
    <t>고양이1</t>
    <phoneticPr fontId="3" type="noConversion"/>
  </si>
  <si>
    <t>삼체 1</t>
    <phoneticPr fontId="3" type="noConversion"/>
  </si>
  <si>
    <t>인간 본성의 법칙</t>
    <phoneticPr fontId="3" type="noConversion"/>
  </si>
  <si>
    <t>십 년 가게 1</t>
    <phoneticPr fontId="3" type="noConversion"/>
  </si>
  <si>
    <t>부의 시나리오</t>
    <phoneticPr fontId="1" type="noConversion"/>
  </si>
  <si>
    <t>옥효진</t>
    <phoneticPr fontId="3" type="noConversion"/>
  </si>
  <si>
    <t>히가시노 게이고</t>
    <phoneticPr fontId="3" type="noConversion"/>
  </si>
  <si>
    <t>정선용</t>
    <phoneticPr fontId="3" type="noConversion"/>
  </si>
  <si>
    <t>박해로</t>
    <phoneticPr fontId="3" type="noConversion"/>
  </si>
  <si>
    <t>베르나르 베르베르</t>
    <phoneticPr fontId="3" type="noConversion"/>
  </si>
  <si>
    <t>류츠신</t>
    <phoneticPr fontId="3" type="noConversion"/>
  </si>
  <si>
    <t>로버트 그린</t>
    <phoneticPr fontId="3" type="noConversion"/>
  </si>
  <si>
    <t>히로시마 레이코</t>
    <phoneticPr fontId="3" type="noConversion"/>
  </si>
  <si>
    <t>오건영</t>
    <phoneticPr fontId="1" type="noConversion"/>
  </si>
  <si>
    <t>총 재생시간</t>
    <phoneticPr fontId="3" type="noConversion"/>
  </si>
  <si>
    <t>13시간 17분</t>
    <phoneticPr fontId="1" type="noConversion"/>
  </si>
  <si>
    <t>분야</t>
    <phoneticPr fontId="3" type="noConversion"/>
  </si>
  <si>
    <t>경제/경영</t>
    <phoneticPr fontId="3" type="noConversion"/>
  </si>
  <si>
    <t>경제/경영</t>
    <phoneticPr fontId="3" type="noConversion"/>
  </si>
  <si>
    <t>소설</t>
    <phoneticPr fontId="3" type="noConversion"/>
  </si>
  <si>
    <t>오디오북 오픈일</t>
    <phoneticPr fontId="3" type="noConversion"/>
  </si>
  <si>
    <t>도서 출간일</t>
    <phoneticPr fontId="3" type="noConversion"/>
  </si>
  <si>
    <t>12시간 33분</t>
    <phoneticPr fontId="1" type="noConversion"/>
  </si>
  <si>
    <t>6시간 45분</t>
    <phoneticPr fontId="1" type="noConversion"/>
  </si>
  <si>
    <t>4시간 45분</t>
    <phoneticPr fontId="1" type="noConversion"/>
  </si>
  <si>
    <t>소설</t>
    <phoneticPr fontId="3" type="noConversion"/>
  </si>
  <si>
    <t>13시간 35분</t>
    <phoneticPr fontId="1" type="noConversion"/>
  </si>
  <si>
    <t>인문</t>
    <phoneticPr fontId="3" type="noConversion"/>
  </si>
  <si>
    <t>36시간 12분</t>
    <phoneticPr fontId="1" type="noConversion"/>
  </si>
  <si>
    <t>주니어</t>
    <phoneticPr fontId="3" type="noConversion"/>
  </si>
  <si>
    <t>3시간 16분</t>
    <phoneticPr fontId="1" type="noConversion"/>
  </si>
  <si>
    <t>8시간 14분</t>
    <phoneticPr fontId="1" type="noConversion"/>
  </si>
  <si>
    <t>444MB</t>
    <phoneticPr fontId="3" type="noConversion"/>
  </si>
  <si>
    <t>3시간 18분</t>
    <phoneticPr fontId="1" type="noConversion"/>
  </si>
  <si>
    <t>1.3GB</t>
    <phoneticPr fontId="1" type="noConversion"/>
  </si>
  <si>
    <t>용량</t>
    <phoneticPr fontId="3" type="noConversion"/>
  </si>
  <si>
    <t>535MB</t>
    <phoneticPr fontId="3" type="noConversion"/>
  </si>
  <si>
    <t>1.5GB</t>
    <phoneticPr fontId="3" type="noConversion"/>
  </si>
  <si>
    <t>258MB</t>
    <phoneticPr fontId="3" type="noConversion"/>
  </si>
  <si>
    <t>923MB</t>
    <phoneticPr fontId="3" type="noConversion"/>
  </si>
  <si>
    <t>2.4GB</t>
    <phoneticPr fontId="3" type="noConversion"/>
  </si>
  <si>
    <t>267MB</t>
    <phoneticPr fontId="3" type="noConversion"/>
  </si>
  <si>
    <t>506MB</t>
    <phoneticPr fontId="1" type="noConversion"/>
  </si>
  <si>
    <t>[표1] 수강분류별 신청인원/금액 평균</t>
    <phoneticPr fontId="1" type="noConversion"/>
  </si>
  <si>
    <t>수강분류</t>
    <phoneticPr fontId="1" type="noConversion"/>
  </si>
  <si>
    <t>신청인원</t>
    <phoneticPr fontId="1" type="noConversion"/>
  </si>
  <si>
    <t>금액</t>
    <phoneticPr fontId="1" type="noConversion"/>
  </si>
  <si>
    <t>어르신</t>
    <phoneticPr fontId="1" type="noConversion"/>
  </si>
  <si>
    <t>직장인</t>
    <phoneticPr fontId="1" type="noConversion"/>
  </si>
  <si>
    <t>주부</t>
    <phoneticPr fontId="1" type="noConversion"/>
  </si>
  <si>
    <t>청소년</t>
    <phoneticPr fontId="1" type="noConversion"/>
  </si>
  <si>
    <t>어린이</t>
    <phoneticPr fontId="1" type="noConversion"/>
  </si>
  <si>
    <t>구분</t>
  </si>
  <si>
    <t>수강분류</t>
  </si>
  <si>
    <t>특강주</t>
  </si>
  <si>
    <t>신청인원</t>
  </si>
  <si>
    <t>비회원</t>
  </si>
  <si>
    <t>회원</t>
  </si>
  <si>
    <t>회원-2주</t>
  </si>
  <si>
    <t>성인</t>
  </si>
  <si>
    <t>서호형</t>
  </si>
  <si>
    <t>비회원-3주</t>
  </si>
  <si>
    <t>조숙희</t>
  </si>
  <si>
    <t>회원-3주</t>
  </si>
  <si>
    <t>어린이</t>
  </si>
  <si>
    <t>홍영식</t>
  </si>
  <si>
    <t>회원-1주</t>
  </si>
  <si>
    <t>정희숙</t>
  </si>
  <si>
    <t>김시습</t>
  </si>
  <si>
    <t>차주석</t>
  </si>
  <si>
    <t>비회원-2주</t>
  </si>
  <si>
    <t>이숙진</t>
  </si>
  <si>
    <t>이창명</t>
  </si>
  <si>
    <t>김중건</t>
  </si>
  <si>
    <t>회원-4주</t>
  </si>
  <si>
    <t>비회원-4주</t>
  </si>
  <si>
    <t>고진웅</t>
  </si>
  <si>
    <t>안대훈</t>
  </si>
  <si>
    <t>민들레</t>
  </si>
  <si>
    <t>특강 날짜</t>
  </si>
  <si>
    <t>금액</t>
  </si>
  <si>
    <t>김솔오</t>
  </si>
  <si>
    <t>오덕우</t>
  </si>
  <si>
    <t>김은소</t>
  </si>
  <si>
    <t>구교선</t>
    <phoneticPr fontId="1" type="noConversion"/>
  </si>
  <si>
    <t>출발공항</t>
  </si>
  <si>
    <t>공항코드</t>
  </si>
  <si>
    <t>항공월</t>
  </si>
  <si>
    <t>항공편명</t>
  </si>
  <si>
    <t>항공코드</t>
  </si>
  <si>
    <t>여객</t>
  </si>
  <si>
    <t>화물</t>
  </si>
  <si>
    <t>제주</t>
  </si>
  <si>
    <t>CJU</t>
  </si>
  <si>
    <t>KE021</t>
  </si>
  <si>
    <t>GMPKE021</t>
  </si>
  <si>
    <t>김해</t>
  </si>
  <si>
    <t>PUS</t>
  </si>
  <si>
    <t>GMPBX074</t>
  </si>
  <si>
    <t>대구</t>
  </si>
  <si>
    <t>TAE</t>
  </si>
  <si>
    <t>JL055</t>
  </si>
  <si>
    <t>GMPJL055</t>
  </si>
  <si>
    <t>광주</t>
  </si>
  <si>
    <t>KWJ</t>
  </si>
  <si>
    <t>KE056</t>
  </si>
  <si>
    <t>CJUKE056</t>
  </si>
  <si>
    <t>KWJTW061</t>
  </si>
  <si>
    <t>KE035</t>
  </si>
  <si>
    <t>CJUKE035</t>
  </si>
  <si>
    <t>김포</t>
  </si>
  <si>
    <t>GMP</t>
  </si>
  <si>
    <t>KE022</t>
  </si>
  <si>
    <t>CJUKE022</t>
  </si>
  <si>
    <t>4J041</t>
  </si>
  <si>
    <t>PUSCJ041</t>
  </si>
  <si>
    <t>CJUOZ046</t>
  </si>
  <si>
    <t>TAEBX086</t>
  </si>
  <si>
    <t>GMPTW064</t>
  </si>
  <si>
    <t>PUSTW042</t>
  </si>
  <si>
    <t>JL081</t>
  </si>
  <si>
    <t>GMPJL081</t>
  </si>
  <si>
    <t>KWJBX072</t>
  </si>
  <si>
    <t>JL051</t>
  </si>
  <si>
    <t>PUSJL051</t>
  </si>
  <si>
    <t>GMPTW076</t>
  </si>
  <si>
    <t>GMPBX065</t>
  </si>
  <si>
    <t>CJUOZ044</t>
  </si>
  <si>
    <t>GMPBX084</t>
  </si>
  <si>
    <t>RS071</t>
  </si>
  <si>
    <t>KWJRS071</t>
  </si>
  <si>
    <t>GMPOZ031</t>
  </si>
  <si>
    <t>JL052</t>
  </si>
  <si>
    <t>PUSJL052</t>
  </si>
  <si>
    <t>JL066</t>
  </si>
  <si>
    <t>GMPJL066</t>
  </si>
  <si>
    <t>KWJTW075</t>
  </si>
  <si>
    <t>KE054</t>
  </si>
  <si>
    <t>CJUKE054</t>
  </si>
  <si>
    <t>CJUOZ032</t>
  </si>
  <si>
    <t>KE082</t>
  </si>
  <si>
    <t>TAEKE082</t>
  </si>
  <si>
    <t>CJU7C034</t>
  </si>
  <si>
    <t>CJUOZ045</t>
  </si>
  <si>
    <t>KWJC7062</t>
  </si>
  <si>
    <t>이름</t>
    <phoneticPr fontId="1" type="noConversion"/>
  </si>
  <si>
    <t>아파트동호수</t>
    <phoneticPr fontId="1" type="noConversion"/>
  </si>
  <si>
    <t>연락처</t>
    <phoneticPr fontId="1" type="noConversion"/>
  </si>
  <si>
    <t>전기사용량</t>
    <phoneticPr fontId="1" type="noConversion"/>
  </si>
  <si>
    <t>수도사용량</t>
    <phoneticPr fontId="1" type="noConversion"/>
  </si>
  <si>
    <t>김민지</t>
    <phoneticPr fontId="1" type="noConversion"/>
  </si>
  <si>
    <t>010-2222-4444</t>
    <phoneticPr fontId="1" type="noConversion"/>
  </si>
  <si>
    <t>김순자</t>
    <phoneticPr fontId="1" type="noConversion"/>
  </si>
  <si>
    <t>010-3456-9874</t>
    <phoneticPr fontId="1" type="noConversion"/>
  </si>
  <si>
    <t>이지현</t>
    <phoneticPr fontId="1" type="noConversion"/>
  </si>
  <si>
    <t>010-2587-9632</t>
    <phoneticPr fontId="1" type="noConversion"/>
  </si>
  <si>
    <t>이지훈</t>
    <phoneticPr fontId="1" type="noConversion"/>
  </si>
  <si>
    <t>010-8520-3697</t>
    <phoneticPr fontId="1" type="noConversion"/>
  </si>
  <si>
    <t>최미경</t>
    <phoneticPr fontId="1" type="noConversion"/>
  </si>
  <si>
    <t>010-9134-7850</t>
    <phoneticPr fontId="1" type="noConversion"/>
  </si>
  <si>
    <t>한주원</t>
    <phoneticPr fontId="1" type="noConversion"/>
  </si>
  <si>
    <t>010-7412-8520</t>
    <phoneticPr fontId="1" type="noConversion"/>
  </si>
  <si>
    <t>황서연</t>
    <phoneticPr fontId="1" type="noConversion"/>
  </si>
  <si>
    <t>010-9510-3574</t>
    <phoneticPr fontId="1" type="noConversion"/>
  </si>
  <si>
    <t>국영수</t>
    <phoneticPr fontId="1" type="noConversion"/>
  </si>
  <si>
    <t>010-4561-3217</t>
    <phoneticPr fontId="1" type="noConversion"/>
  </si>
  <si>
    <t>박동현</t>
    <phoneticPr fontId="1" type="noConversion"/>
  </si>
  <si>
    <t>010-7891-6543</t>
    <phoneticPr fontId="1" type="noConversion"/>
  </si>
  <si>
    <t>유지민</t>
    <phoneticPr fontId="1" type="noConversion"/>
  </si>
  <si>
    <t>010-3697-7410</t>
    <phoneticPr fontId="1" type="noConversion"/>
  </si>
  <si>
    <t>홍준호</t>
    <phoneticPr fontId="1" type="noConversion"/>
  </si>
  <si>
    <t>010-7418-8574</t>
    <phoneticPr fontId="1" type="noConversion"/>
  </si>
  <si>
    <t>강서윤</t>
    <phoneticPr fontId="1" type="noConversion"/>
  </si>
  <si>
    <t>010-4862-9571</t>
    <phoneticPr fontId="1" type="noConversion"/>
  </si>
  <si>
    <t>김하준</t>
    <phoneticPr fontId="1" type="noConversion"/>
  </si>
  <si>
    <t>010-3678-9742</t>
    <phoneticPr fontId="1" type="noConversion"/>
  </si>
  <si>
    <t>신미숙</t>
    <phoneticPr fontId="1" type="noConversion"/>
  </si>
  <si>
    <t>010-3020-9874</t>
    <phoneticPr fontId="1" type="noConversion"/>
  </si>
  <si>
    <t>사원코드</t>
    <phoneticPr fontId="1" type="noConversion"/>
  </si>
  <si>
    <t>목표량</t>
    <phoneticPr fontId="1" type="noConversion"/>
  </si>
  <si>
    <t>판매량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</si>
  <si>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</si>
  <si>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</si>
  <si>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</si>
  <si>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1월</t>
    <phoneticPr fontId="1" type="noConversion"/>
  </si>
  <si>
    <t>합계</t>
    <phoneticPr fontId="1" type="noConversion"/>
  </si>
  <si>
    <t>TM-101</t>
  </si>
  <si>
    <t>TM-102</t>
  </si>
  <si>
    <t>TM-103</t>
  </si>
  <si>
    <t>TM-104</t>
  </si>
  <si>
    <t>TM-105</t>
  </si>
  <si>
    <t>TM-106</t>
  </si>
  <si>
    <t>TM-107</t>
  </si>
  <si>
    <t>TM-108</t>
  </si>
  <si>
    <t>TM-109</t>
  </si>
  <si>
    <t>TM-110</t>
  </si>
  <si>
    <t>1분기 판매 실적</t>
    <phoneticPr fontId="1" type="noConversion"/>
  </si>
  <si>
    <t>作成日</t>
    <phoneticPr fontId="1" type="noConversion"/>
  </si>
  <si>
    <t>행 레이블</t>
  </si>
  <si>
    <t>총합계</t>
  </si>
  <si>
    <t>합계 : 여객</t>
  </si>
  <si>
    <t>합계 : 화물</t>
  </si>
  <si>
    <t>상반기 공항별 이용 현황</t>
    <phoneticPr fontId="1" type="noConversion"/>
  </si>
  <si>
    <t>구분별 특강 신청 현황</t>
    <phoneticPr fontId="1" type="noConversion"/>
  </si>
  <si>
    <t>성인</t>
    <phoneticPr fontId="1" type="noConversion"/>
  </si>
  <si>
    <t>비회원 개수</t>
  </si>
  <si>
    <t>회원 개수</t>
  </si>
  <si>
    <t>전체 개수</t>
  </si>
  <si>
    <t>성인 평균</t>
  </si>
  <si>
    <t>어린이 평균</t>
  </si>
  <si>
    <t>전체 평균</t>
  </si>
  <si>
    <t>어린이</t>
    <phoneticPr fontId="1" type="noConversion"/>
  </si>
  <si>
    <t>강사명</t>
    <phoneticPr fontId="1" type="noConversion"/>
  </si>
  <si>
    <t>최대값</t>
    <phoneticPr fontId="1" type="noConversion"/>
  </si>
  <si>
    <t xml:space="preserve">[표1] </t>
    <phoneticPr fontId="1" type="noConversion"/>
  </si>
  <si>
    <t>전통시장 5일장 판매실적</t>
    <phoneticPr fontId="1" type="noConversion"/>
  </si>
  <si>
    <t>[표2]</t>
    <phoneticPr fontId="1" type="noConversion"/>
  </si>
  <si>
    <t>신입사원 면접 현황</t>
    <phoneticPr fontId="1" type="noConversion"/>
  </si>
  <si>
    <t>메뉴</t>
    <phoneticPr fontId="1" type="noConversion"/>
  </si>
  <si>
    <t>장터판매일</t>
    <phoneticPr fontId="1" type="noConversion"/>
  </si>
  <si>
    <t>판매금액</t>
    <phoneticPr fontId="1" type="noConversion"/>
  </si>
  <si>
    <t>판매요일</t>
  </si>
  <si>
    <t>응시번호</t>
    <phoneticPr fontId="1" type="noConversion"/>
  </si>
  <si>
    <t>지원팀</t>
    <phoneticPr fontId="1" type="noConversion"/>
  </si>
  <si>
    <t>1차면접</t>
    <phoneticPr fontId="1" type="noConversion"/>
  </si>
  <si>
    <t>2차면접</t>
    <phoneticPr fontId="1" type="noConversion"/>
  </si>
  <si>
    <t>자격증</t>
    <phoneticPr fontId="1" type="noConversion"/>
  </si>
  <si>
    <t>총점</t>
    <phoneticPr fontId="1" type="noConversion"/>
  </si>
  <si>
    <t>장터국밥</t>
    <phoneticPr fontId="1" type="noConversion"/>
  </si>
  <si>
    <t>SA21001</t>
    <phoneticPr fontId="1" type="noConversion"/>
  </si>
  <si>
    <t>기술팀</t>
    <phoneticPr fontId="1" type="noConversion"/>
  </si>
  <si>
    <t>돼지국밥</t>
    <phoneticPr fontId="1" type="noConversion"/>
  </si>
  <si>
    <t>SA21002</t>
  </si>
  <si>
    <t>영업팀</t>
    <phoneticPr fontId="1" type="noConversion"/>
  </si>
  <si>
    <t>칼국수</t>
    <phoneticPr fontId="1" type="noConversion"/>
  </si>
  <si>
    <t>SA21003</t>
  </si>
  <si>
    <t>인사팀</t>
    <phoneticPr fontId="1" type="noConversion"/>
  </si>
  <si>
    <t>비빔국수</t>
    <phoneticPr fontId="1" type="noConversion"/>
  </si>
  <si>
    <t>SA21004</t>
  </si>
  <si>
    <t>기술팀</t>
    <phoneticPr fontId="1" type="noConversion"/>
  </si>
  <si>
    <t>순대</t>
    <phoneticPr fontId="1" type="noConversion"/>
  </si>
  <si>
    <t>SA21005</t>
  </si>
  <si>
    <t>영업팀</t>
    <phoneticPr fontId="1" type="noConversion"/>
  </si>
  <si>
    <t>떢복기</t>
    <phoneticPr fontId="1" type="noConversion"/>
  </si>
  <si>
    <t>SA21006</t>
  </si>
  <si>
    <t>꽈배기</t>
    <phoneticPr fontId="1" type="noConversion"/>
  </si>
  <si>
    <t>SA21007</t>
  </si>
  <si>
    <t>&lt;조건&gt;</t>
    <phoneticPr fontId="1" type="noConversion"/>
  </si>
  <si>
    <t>닭강정</t>
    <phoneticPr fontId="1" type="noConversion"/>
  </si>
  <si>
    <t>SA21008</t>
  </si>
  <si>
    <t>지원팀</t>
    <phoneticPr fontId="1" type="noConversion"/>
  </si>
  <si>
    <t>빈대떡</t>
    <phoneticPr fontId="1" type="noConversion"/>
  </si>
  <si>
    <t>기술팀 지원자 총점 최대최소값</t>
    <phoneticPr fontId="1" type="noConversion"/>
  </si>
  <si>
    <t>[표3]</t>
    <phoneticPr fontId="1" type="noConversion"/>
  </si>
  <si>
    <t>경력사원 채용결과</t>
    <phoneticPr fontId="1" type="noConversion"/>
  </si>
  <si>
    <t>[표4]</t>
    <phoneticPr fontId="1" type="noConversion"/>
  </si>
  <si>
    <t>고속열차 예매 현황</t>
    <phoneticPr fontId="1" type="noConversion"/>
  </si>
  <si>
    <t>응시자명</t>
    <phoneticPr fontId="1" type="noConversion"/>
  </si>
  <si>
    <t>서류</t>
    <phoneticPr fontId="1" type="noConversion"/>
  </si>
  <si>
    <t>어학</t>
    <phoneticPr fontId="1" type="noConversion"/>
  </si>
  <si>
    <t>면접</t>
    <phoneticPr fontId="1" type="noConversion"/>
  </si>
  <si>
    <t>결과</t>
    <phoneticPr fontId="1" type="noConversion"/>
  </si>
  <si>
    <t>구간</t>
    <phoneticPr fontId="1" type="noConversion"/>
  </si>
  <si>
    <t>출발시간</t>
    <phoneticPr fontId="1" type="noConversion"/>
  </si>
  <si>
    <t>요금</t>
  </si>
  <si>
    <t>잔여좌석</t>
  </si>
  <si>
    <t>비고</t>
  </si>
  <si>
    <t>남궁연</t>
  </si>
  <si>
    <t>서울-천안아산</t>
    <phoneticPr fontId="1" type="noConversion"/>
  </si>
  <si>
    <t>백석희</t>
  </si>
  <si>
    <t>서울-광명</t>
    <phoneticPr fontId="1" type="noConversion"/>
  </si>
  <si>
    <t>서은혁</t>
  </si>
  <si>
    <t>서울-오송</t>
    <phoneticPr fontId="1" type="noConversion"/>
  </si>
  <si>
    <t>강이수</t>
  </si>
  <si>
    <t>서울-대전</t>
    <phoneticPr fontId="1" type="noConversion"/>
  </si>
  <si>
    <t>신경숙</t>
  </si>
  <si>
    <t>서울-신경주</t>
    <phoneticPr fontId="1" type="noConversion"/>
  </si>
  <si>
    <t>이문영</t>
  </si>
  <si>
    <t>광명-동대구</t>
    <phoneticPr fontId="1" type="noConversion"/>
  </si>
  <si>
    <t>배희진</t>
  </si>
  <si>
    <t>서울-울산</t>
    <phoneticPr fontId="1" type="noConversion"/>
  </si>
  <si>
    <t>현희태</t>
  </si>
  <si>
    <t>광명-부산</t>
    <phoneticPr fontId="1" type="noConversion"/>
  </si>
  <si>
    <t>최혁주</t>
  </si>
  <si>
    <t>오송-동대구</t>
    <phoneticPr fontId="1" type="noConversion"/>
  </si>
  <si>
    <t>강동규</t>
  </si>
  <si>
    <t>오송-울산</t>
    <phoneticPr fontId="1" type="noConversion"/>
  </si>
  <si>
    <t>인디밴드</t>
    <phoneticPr fontId="1" type="noConversion"/>
  </si>
  <si>
    <t>기타4중주</t>
    <phoneticPr fontId="1" type="noConversion"/>
  </si>
  <si>
    <t>[표5]</t>
    <phoneticPr fontId="1" type="noConversion"/>
  </si>
  <si>
    <t>공연관람현황</t>
    <phoneticPr fontId="1" type="noConversion"/>
  </si>
  <si>
    <t>관람일</t>
    <phoneticPr fontId="1" type="noConversion"/>
  </si>
  <si>
    <t>공연명</t>
    <phoneticPr fontId="1" type="noConversion"/>
  </si>
  <si>
    <t>결제금액</t>
    <phoneticPr fontId="1" type="noConversion"/>
  </si>
  <si>
    <t>포인트</t>
    <phoneticPr fontId="1" type="noConversion"/>
  </si>
  <si>
    <t>등급</t>
    <phoneticPr fontId="1" type="noConversion"/>
  </si>
  <si>
    <t>록엔롤</t>
    <phoneticPr fontId="1" type="noConversion"/>
  </si>
  <si>
    <t>피아노독주</t>
    <phoneticPr fontId="1" type="noConversion"/>
  </si>
  <si>
    <t>오케스트라</t>
    <phoneticPr fontId="1" type="noConversion"/>
  </si>
  <si>
    <t>현악4중주</t>
    <phoneticPr fontId="1" type="noConversion"/>
  </si>
  <si>
    <t>뮤지컬</t>
    <phoneticPr fontId="1" type="noConversion"/>
  </si>
  <si>
    <t>오페라</t>
    <phoneticPr fontId="1" type="noConversion"/>
  </si>
  <si>
    <t>국악</t>
    <phoneticPr fontId="1" type="noConversion"/>
  </si>
  <si>
    <t>사원 근무평가</t>
    <phoneticPr fontId="1" type="noConversion"/>
  </si>
  <si>
    <t>사원번호</t>
    <phoneticPr fontId="1" type="noConversion"/>
  </si>
  <si>
    <t>부서</t>
    <phoneticPr fontId="1" type="noConversion"/>
  </si>
  <si>
    <t>근무년수</t>
    <phoneticPr fontId="1" type="noConversion"/>
  </si>
  <si>
    <t>인사평가</t>
    <phoneticPr fontId="1" type="noConversion"/>
  </si>
  <si>
    <t>출근시간</t>
    <phoneticPr fontId="1" type="noConversion"/>
  </si>
  <si>
    <t>소속</t>
    <phoneticPr fontId="1" type="noConversion"/>
  </si>
  <si>
    <t>G-S890</t>
    <phoneticPr fontId="1" type="noConversion"/>
  </si>
  <si>
    <t>생산</t>
    <phoneticPr fontId="1" type="noConversion"/>
  </si>
  <si>
    <t>지사</t>
  </si>
  <si>
    <t>B-K247</t>
    <phoneticPr fontId="1" type="noConversion"/>
  </si>
  <si>
    <t>신동민</t>
    <phoneticPr fontId="1" type="noConversion"/>
  </si>
  <si>
    <t>영업</t>
    <phoneticPr fontId="1" type="noConversion"/>
  </si>
  <si>
    <t>본사</t>
  </si>
  <si>
    <t>G-I679</t>
    <phoneticPr fontId="1" type="noConversion"/>
  </si>
  <si>
    <t>김국자</t>
    <phoneticPr fontId="1" type="noConversion"/>
  </si>
  <si>
    <t>B-S247</t>
    <phoneticPr fontId="1" type="noConversion"/>
  </si>
  <si>
    <t>이옥희</t>
    <phoneticPr fontId="1" type="noConversion"/>
  </si>
  <si>
    <t>G-K375</t>
    <phoneticPr fontId="1" type="noConversion"/>
  </si>
  <si>
    <t>강성민</t>
    <phoneticPr fontId="1" type="noConversion"/>
  </si>
  <si>
    <t>관리</t>
    <phoneticPr fontId="1" type="noConversion"/>
  </si>
  <si>
    <t>G-S614</t>
    <phoneticPr fontId="1" type="noConversion"/>
  </si>
  <si>
    <t>우재호</t>
    <phoneticPr fontId="1" type="noConversion"/>
  </si>
  <si>
    <t>B-K978</t>
    <phoneticPr fontId="1" type="noConversion"/>
  </si>
  <si>
    <t>B-I140</t>
    <phoneticPr fontId="1" type="noConversion"/>
  </si>
  <si>
    <t>유전수</t>
    <phoneticPr fontId="1" type="noConversion"/>
  </si>
  <si>
    <t>G-S124</t>
    <phoneticPr fontId="1" type="noConversion"/>
  </si>
  <si>
    <t>G-S852</t>
    <phoneticPr fontId="1" type="noConversion"/>
  </si>
  <si>
    <t>박기찬</t>
    <phoneticPr fontId="1" type="noConversion"/>
  </si>
  <si>
    <t>김예솔</t>
    <phoneticPr fontId="1" type="noConversion"/>
  </si>
  <si>
    <t>김정우</t>
    <phoneticPr fontId="1" type="noConversion"/>
  </si>
  <si>
    <t>김수민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</si>
</sst>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[&gt;=10000]0&quot;단지 &quot;0000&quot;호&quot;;0&quot;단지 &quot;000&quot;호&quot;"/>
    <numFmt numFmtId="177" formatCode="mm&quot;월&quot;\ dd&quot;일&quot;\ \(aaa\)"/>
    <numFmt numFmtId="178" formatCode="#,##0&quot;개&quot;"/>
    <numFmt numFmtId="179" formatCode="#,##0_ "/>
    <numFmt numFmtId="180" formatCode="mm&quot;월&quot;\ dd&quot;일&quot;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8"/>
      <color theme="1"/>
      <name val="궁서체"/>
      <family val="1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" fillId="0" borderId="0"/>
    <xf numFmtId="41" fontId="6" fillId="0" borderId="0" applyFont="0" applyFill="0" applyBorder="0" applyAlignment="0" applyProtection="0">
      <alignment vertical="center"/>
    </xf>
    <xf numFmtId="0" fontId="7" fillId="0" borderId="0"/>
    <xf numFmtId="0" fontId="9" fillId="3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78">
    <xf numFmtId="0" fontId="0" fillId="0" borderId="0" xfId="0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5" fillId="0" borderId="0" xfId="0" applyFont="1">
      <alignment vertical="center"/>
    </xf>
    <xf numFmtId="0" fontId="5" fillId="0" borderId="0" xfId="1" applyFont="1"/>
    <xf numFmtId="14" fontId="5" fillId="0" borderId="0" xfId="0" applyNumberFormat="1" applyFont="1">
      <alignment vertical="center"/>
    </xf>
    <xf numFmtId="0" fontId="5" fillId="0" borderId="0" xfId="1" applyNumberFormat="1" applyFont="1"/>
    <xf numFmtId="0" fontId="5" fillId="0" borderId="0" xfId="0" applyFont="1" applyAlignment="1"/>
    <xf numFmtId="32" fontId="5" fillId="0" borderId="0" xfId="0" applyNumberFormat="1" applyFont="1" applyAlignment="1"/>
    <xf numFmtId="14" fontId="0" fillId="0" borderId="0" xfId="0" applyNumberFormat="1">
      <alignment vertical="center"/>
    </xf>
    <xf numFmtId="0" fontId="5" fillId="0" borderId="0" xfId="1" applyNumberFormat="1" applyFont="1" applyFill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2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8" fillId="0" borderId="1" xfId="3" applyFont="1" applyFill="1" applyBorder="1" applyAlignment="1">
      <alignment horizontal="center" wrapText="1"/>
    </xf>
    <xf numFmtId="0" fontId="0" fillId="0" borderId="1" xfId="0" applyFill="1" applyBorder="1">
      <alignment vertical="center"/>
    </xf>
    <xf numFmtId="41" fontId="0" fillId="0" borderId="1" xfId="2" applyFont="1" applyFill="1" applyBorder="1">
      <alignment vertical="center"/>
    </xf>
    <xf numFmtId="14" fontId="0" fillId="0" borderId="1" xfId="0" applyNumberFormat="1" applyFill="1" applyBorder="1" applyAlignment="1">
      <alignment horizontal="center" vertical="center"/>
    </xf>
    <xf numFmtId="41" fontId="0" fillId="0" borderId="1" xfId="2" applyFont="1" applyBorder="1" applyAlignment="1">
      <alignment horizontal="center" vertical="center"/>
    </xf>
    <xf numFmtId="0" fontId="9" fillId="3" borderId="1" xfId="4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9" fillId="3" borderId="6" xfId="4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8" fontId="0" fillId="0" borderId="6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178" fontId="0" fillId="0" borderId="8" xfId="0" applyNumberFormat="1" applyBorder="1">
      <alignment vertical="center"/>
    </xf>
    <xf numFmtId="178" fontId="0" fillId="0" borderId="9" xfId="0" applyNumberForma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0" fontId="11" fillId="0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41" fontId="0" fillId="0" borderId="0" xfId="2" applyFont="1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13" fillId="0" borderId="0" xfId="0" applyFont="1">
      <alignment vertical="center"/>
    </xf>
    <xf numFmtId="0" fontId="4" fillId="0" borderId="0" xfId="5" applyFont="1">
      <alignment vertical="center"/>
    </xf>
    <xf numFmtId="0" fontId="13" fillId="0" borderId="0" xfId="5" applyFont="1">
      <alignment vertical="center"/>
    </xf>
    <xf numFmtId="0" fontId="6" fillId="0" borderId="0" xfId="5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5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1" xfId="5" applyFont="1" applyFill="1" applyBorder="1" applyAlignment="1">
      <alignment horizontal="center" vertical="center"/>
    </xf>
    <xf numFmtId="0" fontId="6" fillId="0" borderId="1" xfId="5" applyFill="1" applyBorder="1" applyAlignment="1">
      <alignment horizontal="center" vertical="center"/>
    </xf>
    <xf numFmtId="0" fontId="6" fillId="0" borderId="1" xfId="5" applyBorder="1" applyAlignment="1">
      <alignment horizontal="center" vertical="center"/>
    </xf>
    <xf numFmtId="0" fontId="6" fillId="0" borderId="0" xfId="5" applyBorder="1" applyAlignment="1">
      <alignment horizontal="center" vertical="center"/>
    </xf>
    <xf numFmtId="0" fontId="4" fillId="0" borderId="0" xfId="6" applyFont="1">
      <alignment vertical="center"/>
    </xf>
    <xf numFmtId="0" fontId="13" fillId="0" borderId="0" xfId="6" applyFont="1">
      <alignment vertical="center"/>
    </xf>
    <xf numFmtId="0" fontId="6" fillId="0" borderId="0" xfId="6">
      <alignment vertical="center"/>
    </xf>
    <xf numFmtId="0" fontId="0" fillId="0" borderId="1" xfId="6" applyFont="1" applyBorder="1" applyAlignment="1">
      <alignment horizontal="center" vertical="center"/>
    </xf>
    <xf numFmtId="0" fontId="0" fillId="4" borderId="1" xfId="6" applyFont="1" applyFill="1" applyBorder="1" applyAlignment="1">
      <alignment horizontal="center" vertical="center"/>
    </xf>
    <xf numFmtId="0" fontId="6" fillId="0" borderId="1" xfId="6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13" fillId="5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9" fillId="3" borderId="3" xfId="4" applyBorder="1" applyAlignment="1">
      <alignment horizontal="center" vertical="center"/>
    </xf>
    <xf numFmtId="0" fontId="9" fillId="3" borderId="4" xfId="4" applyBorder="1" applyAlignment="1">
      <alignment horizontal="center" vertical="center"/>
    </xf>
    <xf numFmtId="0" fontId="9" fillId="3" borderId="2" xfId="4" applyBorder="1" applyAlignment="1">
      <alignment horizontal="center" vertical="center"/>
    </xf>
    <xf numFmtId="0" fontId="9" fillId="3" borderId="5" xfId="4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4" borderId="11" xfId="5" applyFont="1" applyFill="1" applyBorder="1" applyAlignment="1">
      <alignment horizontal="center" vertical="center"/>
    </xf>
    <xf numFmtId="0" fontId="6" fillId="4" borderId="12" xfId="5" applyFill="1" applyBorder="1" applyAlignment="1">
      <alignment horizontal="center" vertical="center"/>
    </xf>
    <xf numFmtId="0" fontId="6" fillId="4" borderId="13" xfId="5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7">
    <cellStyle name="강조색5" xfId="4" builtinId="45"/>
    <cellStyle name="쉼표 [0]" xfId="2" builtinId="6"/>
    <cellStyle name="표준" xfId="0" builtinId="0"/>
    <cellStyle name="표준 2" xfId="6" xr:uid="{00000000-0005-0000-0000-000003000000}"/>
    <cellStyle name="표준 3 2" xfId="5" xr:uid="{00000000-0005-0000-0000-000004000000}"/>
    <cellStyle name="표준_계산작업" xfId="3" xr:uid="{00000000-0005-0000-0000-000005000000}"/>
    <cellStyle name="표준_기본작업-1" xfId="1" xr:uid="{00000000-0005-0000-0000-000006000000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차트작업!$D$3</c:f>
              <c:strCache>
                <c:ptCount val="1"/>
                <c:pt idx="0">
                  <c:v>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6AE-4ED0-84D6-97C1C66A895B}"/>
              </c:ext>
            </c:extLst>
          </c:dPt>
          <c:dLbls>
            <c:dLbl>
              <c:idx val="2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AE-4ED0-84D6-97C1C66A895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차트작업!$B$4:$B$8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139780</c:v>
                </c:pt>
                <c:pt idx="1">
                  <c:v>291500</c:v>
                </c:pt>
                <c:pt idx="2">
                  <c:v>325000</c:v>
                </c:pt>
                <c:pt idx="3">
                  <c:v>178540</c:v>
                </c:pt>
                <c:pt idx="4">
                  <c:v>213700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E-4777-9183-3E7B1034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31804064"/>
        <c:axId val="1131801152"/>
      </c:barChart>
      <c:line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신청인원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45</c:v>
                </c:pt>
                <c:pt idx="3">
                  <c:v>18</c:v>
                </c:pt>
                <c:pt idx="4">
                  <c:v>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D9E-4777-9183-3E7B1034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367103"/>
        <c:axId val="1064365855"/>
      </c:lineChart>
      <c:catAx>
        <c:axId val="11318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1801152"/>
        <c:crosses val="autoZero"/>
        <c:auto val="1"/>
        <c:lblAlgn val="ctr"/>
        <c:lblOffset val="100"/>
        <c:noMultiLvlLbl val="0"/>
      </c:catAx>
      <c:valAx>
        <c:axId val="11318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차트작업!$D$3</c:f>
              <c:strCache>
                <c:ptCount val="1"/>
                <c:pt idx="0">
                  <c:v>금액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1804064"/>
        <c:crosses val="autoZero"/>
        <c:crossBetween val="between"/>
      </c:valAx>
      <c:valAx>
        <c:axId val="1064365855"/>
        <c:scaling>
          <c:orientation val="minMax"/>
        </c:scaling>
        <c:delete val="0"/>
        <c:axPos val="r"/>
        <c:title>
          <c:tx>
            <c:strRef>
              <c:f>차트작업!$C$3</c:f>
              <c:strCache>
                <c:ptCount val="1"/>
                <c:pt idx="0">
                  <c:v>신청인원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64367103"/>
        <c:crosses val="max"/>
        <c:crossBetween val="between"/>
      </c:valAx>
      <c:catAx>
        <c:axId val="10643671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43658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최대값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8</xdr:col>
      <xdr:colOff>0</xdr:colOff>
      <xdr:row>6</xdr:row>
      <xdr:rowOff>0</xdr:rowOff>
    </xdr:to>
    <xdr:sp macro="[0]!테두리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111750" y="86360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44.461186111112" createdVersion="6" refreshedVersion="6" minRefreshableVersion="3" recordCount="30" xr:uid="{00000000-000A-0000-FFFF-FFFF00000000}">
  <cacheSource type="worksheet">
    <worksheetSource ref="A3:G33" sheet="분석작업-1"/>
  </cacheSource>
  <cacheFields count="7">
    <cacheField name="출발공항" numFmtId="0">
      <sharedItems count="5">
        <s v="제주"/>
        <s v="김해"/>
        <s v="대구"/>
        <s v="광주"/>
        <s v="김포"/>
      </sharedItems>
    </cacheField>
    <cacheField name="공항코드" numFmtId="0">
      <sharedItems/>
    </cacheField>
    <cacheField name="항공월" numFmtId="0">
      <sharedItems containsSemiMixedTypes="0" containsString="0" containsNumber="1" minValue="2022.02" maxValue="2022.08" count="7">
        <n v="2022.02"/>
        <n v="2022.07"/>
        <n v="2022.05"/>
        <n v="2022.06"/>
        <n v="2022.03"/>
        <n v="2022.04"/>
        <n v="2022.08"/>
      </sharedItems>
    </cacheField>
    <cacheField name="항공편명" numFmtId="0">
      <sharedItems containsMixedTypes="1" containsNumber="1" containsInteger="1" minValue="1065" maxValue="74034"/>
    </cacheField>
    <cacheField name="항공코드" numFmtId="0">
      <sharedItems/>
    </cacheField>
    <cacheField name="여객" numFmtId="41">
      <sharedItems containsSemiMixedTypes="0" containsString="0" containsNumber="1" containsInteger="1" minValue="1103" maxValue="6512"/>
    </cacheField>
    <cacheField name="화물" numFmtId="41">
      <sharedItems containsSemiMixedTypes="0" containsString="0" containsNumber="1" containsInteger="1" minValue="325" maxValue="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s v="CJU"/>
    <x v="0"/>
    <s v="KE021"/>
    <s v="GMPKE021"/>
    <n v="5324"/>
    <n v="954"/>
  </r>
  <r>
    <x v="1"/>
    <s v="PUS"/>
    <x v="1"/>
    <n v="1074"/>
    <s v="GMPBX074"/>
    <n v="6512"/>
    <n v="3520"/>
  </r>
  <r>
    <x v="2"/>
    <s v="TAE"/>
    <x v="2"/>
    <s v="JL055"/>
    <s v="GMPJL055"/>
    <n v="1962"/>
    <n v="1380"/>
  </r>
  <r>
    <x v="3"/>
    <s v="KWJ"/>
    <x v="2"/>
    <s v="KE056"/>
    <s v="CJUKE056"/>
    <n v="1235"/>
    <n v="325"/>
  </r>
  <r>
    <x v="0"/>
    <s v="CJU"/>
    <x v="3"/>
    <n v="3061"/>
    <s v="KWJTW061"/>
    <n v="1986"/>
    <n v="1010"/>
  </r>
  <r>
    <x v="2"/>
    <s v="TAE"/>
    <x v="4"/>
    <s v="KE035"/>
    <s v="CJUKE035"/>
    <n v="1594"/>
    <n v="899"/>
  </r>
  <r>
    <x v="4"/>
    <s v="GMP"/>
    <x v="0"/>
    <s v="KE022"/>
    <s v="CJUKE022"/>
    <n v="5428"/>
    <n v="2410"/>
  </r>
  <r>
    <x v="0"/>
    <s v="CJU"/>
    <x v="5"/>
    <s v="4J041"/>
    <s v="PUSCJ041"/>
    <n v="3856"/>
    <n v="842"/>
  </r>
  <r>
    <x v="3"/>
    <s v="KWJ"/>
    <x v="5"/>
    <n v="2046"/>
    <s v="CJUOZ046"/>
    <n v="1755"/>
    <n v="436"/>
  </r>
  <r>
    <x v="3"/>
    <s v="KWJ"/>
    <x v="6"/>
    <n v="1086"/>
    <s v="TAEBX086"/>
    <n v="1520"/>
    <n v="425"/>
  </r>
  <r>
    <x v="1"/>
    <s v="PUS"/>
    <x v="3"/>
    <n v="3064"/>
    <s v="GMPTW064"/>
    <n v="3874"/>
    <n v="1841"/>
  </r>
  <r>
    <x v="4"/>
    <s v="GMP"/>
    <x v="5"/>
    <n v="3042"/>
    <s v="PUSTW042"/>
    <n v="2386"/>
    <n v="1164"/>
  </r>
  <r>
    <x v="0"/>
    <s v="CJU"/>
    <x v="6"/>
    <s v="JL081"/>
    <s v="GMPJL081"/>
    <n v="4620"/>
    <n v="2150"/>
  </r>
  <r>
    <x v="4"/>
    <s v="GMP"/>
    <x v="1"/>
    <n v="1072"/>
    <s v="KWJBX072"/>
    <n v="1103"/>
    <n v="557"/>
  </r>
  <r>
    <x v="0"/>
    <s v="CJU"/>
    <x v="2"/>
    <s v="JL051"/>
    <s v="PUSJL051"/>
    <n v="2210"/>
    <n v="1243"/>
  </r>
  <r>
    <x v="3"/>
    <s v="KWJ"/>
    <x v="1"/>
    <n v="3076"/>
    <s v="GMPTW076"/>
    <n v="2263"/>
    <n v="1360"/>
  </r>
  <r>
    <x v="2"/>
    <s v="TAE"/>
    <x v="3"/>
    <n v="1065"/>
    <s v="GMPBX065"/>
    <n v="2170"/>
    <n v="1207"/>
  </r>
  <r>
    <x v="1"/>
    <s v="PUS"/>
    <x v="5"/>
    <n v="2044"/>
    <s v="CJUOZ044"/>
    <n v="2531"/>
    <n v="856"/>
  </r>
  <r>
    <x v="1"/>
    <s v="PUS"/>
    <x v="6"/>
    <n v="1084"/>
    <s v="GMPBX084"/>
    <n v="5268"/>
    <n v="3210"/>
  </r>
  <r>
    <x v="0"/>
    <s v="CJU"/>
    <x v="1"/>
    <s v="RS071"/>
    <s v="KWJRS071"/>
    <n v="1540"/>
    <n v="965"/>
  </r>
  <r>
    <x v="0"/>
    <s v="CJU"/>
    <x v="4"/>
    <n v="2031"/>
    <s v="GMPOZ031"/>
    <n v="4985"/>
    <n v="1240"/>
  </r>
  <r>
    <x v="4"/>
    <s v="GMP"/>
    <x v="2"/>
    <s v="JL052"/>
    <s v="PUSJL052"/>
    <n v="3481"/>
    <n v="1462"/>
  </r>
  <r>
    <x v="3"/>
    <s v="KWJ"/>
    <x v="3"/>
    <s v="JL066"/>
    <s v="GMPJL066"/>
    <n v="2654"/>
    <n v="1105"/>
  </r>
  <r>
    <x v="2"/>
    <s v="TAE"/>
    <x v="1"/>
    <n v="3075"/>
    <s v="KWJTW075"/>
    <n v="1254"/>
    <n v="336"/>
  </r>
  <r>
    <x v="1"/>
    <s v="PUS"/>
    <x v="2"/>
    <s v="KE054"/>
    <s v="CJUKE054"/>
    <n v="2620"/>
    <n v="1060"/>
  </r>
  <r>
    <x v="4"/>
    <s v="GMP"/>
    <x v="4"/>
    <n v="2032"/>
    <s v="CJUOZ032"/>
    <n v="4751"/>
    <n v="2150"/>
  </r>
  <r>
    <x v="4"/>
    <s v="GMP"/>
    <x v="6"/>
    <s v="KE082"/>
    <s v="TAEKE082"/>
    <n v="1658"/>
    <n v="401"/>
  </r>
  <r>
    <x v="1"/>
    <s v="PUS"/>
    <x v="4"/>
    <n v="74034"/>
    <s v="CJU7C034"/>
    <n v="3367"/>
    <n v="1548"/>
  </r>
  <r>
    <x v="2"/>
    <s v="TAE"/>
    <x v="5"/>
    <n v="2045"/>
    <s v="CJUOZ045"/>
    <n v="2385"/>
    <n v="1040"/>
  </r>
  <r>
    <x v="4"/>
    <s v="GMP"/>
    <x v="3"/>
    <n v="47062"/>
    <s v="KWJC7062"/>
    <n v="1128"/>
    <n v="8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I5:K11" firstHeaderRow="0" firstDataRow="1" firstDataCol="1"/>
  <pivotFields count="7">
    <pivotField axis="axisRow" showAll="0">
      <items count="6">
        <item x="3"/>
        <item x="4"/>
        <item x="1"/>
        <item x="2"/>
        <item x="0"/>
        <item t="default"/>
      </items>
    </pivotField>
    <pivotField showAll="0"/>
    <pivotField showAll="0">
      <items count="8">
        <item x="0"/>
        <item x="4"/>
        <item x="5"/>
        <item x="2"/>
        <item x="3"/>
        <item x="1"/>
        <item x="6"/>
        <item t="default"/>
      </items>
    </pivotField>
    <pivotField showAll="0"/>
    <pivotField showAll="0"/>
    <pivotField dataField="1" numFmtId="41" showAll="0"/>
    <pivotField dataField="1" numFmtId="4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여객" fld="5" baseField="0" baseItem="0" numFmtId="179"/>
    <dataField name="합계 : 화물" fld="6" baseField="0" baseItem="0" numFmtId="179"/>
  </dataFields>
  <pivotTableStyleInfo name="PivotStyleMedium1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판매현황_1" adjustColumnWidth="0" connectionId="1" xr16:uid="{00000000-0016-0000-0200-000000000000}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표2" displayName="표2" ref="A3:G27" totalsRowShown="0" headerRowDxfId="8" headerRowBorderDxfId="7" tableBorderDxfId="6">
  <autoFilter ref="A3:G27" xr:uid="{00000000-0009-0000-0100-000002000000}"/>
  <tableColumns count="7">
    <tableColumn id="1" xr3:uid="{00000000-0010-0000-0000-000001000000}" name="구분" dataDxfId="5"/>
    <tableColumn id="2" xr3:uid="{00000000-0010-0000-0000-000002000000}" name="수강분류"/>
    <tableColumn id="3" xr3:uid="{00000000-0010-0000-0000-000003000000}" name="강사명" dataDxfId="4"/>
    <tableColumn id="4" xr3:uid="{00000000-0010-0000-0000-000004000000}" name="특강주" dataDxfId="3"/>
    <tableColumn id="5" xr3:uid="{00000000-0010-0000-0000-000005000000}" name="특강 날짜" dataDxfId="2"/>
    <tableColumn id="6" xr3:uid="{00000000-0010-0000-0000-000006000000}" name="신청인원" dataDxfId="1"/>
    <tableColumn id="7" xr3:uid="{00000000-0010-0000-0000-000007000000}" name="금액" dataDxfId="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2"/>
  <sheetViews>
    <sheetView tabSelected="1" zoomScaleNormal="100" workbookViewId="0"/>
  </sheetViews>
  <sheetFormatPr defaultRowHeight="16.5"/>
  <cols>
    <col min="1" max="1" width="23.25" bestFit="1" customWidth="1"/>
    <col min="2" max="2" width="17" bestFit="1" customWidth="1"/>
    <col min="3" max="3" width="11.5" customWidth="1"/>
    <col min="4" max="4" width="11.875" bestFit="1" customWidth="1"/>
    <col min="5" max="5" width="15" bestFit="1" customWidth="1"/>
    <col min="6" max="6" width="11.375" bestFit="1" customWidth="1"/>
    <col min="7" max="7" width="9.25" bestFit="1" customWidth="1"/>
  </cols>
  <sheetData>
    <row r="1" spans="1:7">
      <c r="A1" s="3" t="s">
        <v>2</v>
      </c>
      <c r="B1" s="3"/>
      <c r="C1" s="3"/>
      <c r="D1" s="3"/>
      <c r="E1" s="3"/>
      <c r="F1" s="3"/>
      <c r="G1" s="3"/>
    </row>
    <row r="2" spans="1:7">
      <c r="A2" s="3"/>
      <c r="B2" s="3"/>
      <c r="C2" s="3"/>
      <c r="D2" s="3"/>
      <c r="E2" s="3"/>
      <c r="F2" s="3"/>
      <c r="G2" s="3"/>
    </row>
    <row r="3" spans="1:7">
      <c r="A3" s="3" t="s">
        <v>0</v>
      </c>
      <c r="B3" s="3" t="s">
        <v>1</v>
      </c>
      <c r="C3" s="3" t="s">
        <v>42</v>
      </c>
      <c r="D3" s="3" t="s">
        <v>28</v>
      </c>
      <c r="E3" s="3" t="s">
        <v>27</v>
      </c>
      <c r="F3" s="7" t="s">
        <v>21</v>
      </c>
      <c r="G3" s="3" t="s">
        <v>23</v>
      </c>
    </row>
    <row r="4" spans="1:7">
      <c r="A4" s="3" t="s">
        <v>3</v>
      </c>
      <c r="B4" s="3" t="s">
        <v>12</v>
      </c>
      <c r="C4" s="4" t="s">
        <v>39</v>
      </c>
      <c r="D4" s="5">
        <v>44362</v>
      </c>
      <c r="E4" s="5">
        <v>44435</v>
      </c>
      <c r="F4" s="8" t="s">
        <v>40</v>
      </c>
      <c r="G4" s="1" t="s">
        <v>24</v>
      </c>
    </row>
    <row r="5" spans="1:7">
      <c r="A5" s="3" t="s">
        <v>4</v>
      </c>
      <c r="B5" s="3" t="s">
        <v>13</v>
      </c>
      <c r="C5" s="4" t="s">
        <v>41</v>
      </c>
      <c r="D5" s="5">
        <v>44403</v>
      </c>
      <c r="E5" s="5">
        <v>44435</v>
      </c>
      <c r="F5" s="7" t="s">
        <v>22</v>
      </c>
      <c r="G5" s="1" t="s">
        <v>26</v>
      </c>
    </row>
    <row r="6" spans="1:7">
      <c r="A6" s="3" t="s">
        <v>5</v>
      </c>
      <c r="B6" s="3" t="s">
        <v>14</v>
      </c>
      <c r="C6" s="6" t="s">
        <v>43</v>
      </c>
      <c r="D6" s="5">
        <v>44280</v>
      </c>
      <c r="E6" s="5">
        <v>44428</v>
      </c>
      <c r="F6" s="7" t="s">
        <v>30</v>
      </c>
      <c r="G6" s="1" t="s">
        <v>25</v>
      </c>
    </row>
    <row r="7" spans="1:7">
      <c r="A7" s="3" t="s">
        <v>6</v>
      </c>
      <c r="B7" s="3" t="s">
        <v>15</v>
      </c>
      <c r="C7" s="6" t="s">
        <v>44</v>
      </c>
      <c r="D7" s="5">
        <v>43671</v>
      </c>
      <c r="E7" s="5">
        <v>44421</v>
      </c>
      <c r="F7" s="7" t="s">
        <v>29</v>
      </c>
      <c r="G7" s="1" t="s">
        <v>26</v>
      </c>
    </row>
    <row r="8" spans="1:7">
      <c r="A8" s="3" t="s">
        <v>7</v>
      </c>
      <c r="B8" s="3" t="s">
        <v>16</v>
      </c>
      <c r="C8" s="4" t="s">
        <v>45</v>
      </c>
      <c r="D8" s="5">
        <v>43250</v>
      </c>
      <c r="E8" s="5">
        <v>44419</v>
      </c>
      <c r="F8" s="7" t="s">
        <v>31</v>
      </c>
      <c r="G8" s="1" t="s">
        <v>32</v>
      </c>
    </row>
    <row r="9" spans="1:7">
      <c r="A9" s="3" t="s">
        <v>8</v>
      </c>
      <c r="B9" s="3" t="s">
        <v>17</v>
      </c>
      <c r="C9" s="4" t="s">
        <v>46</v>
      </c>
      <c r="D9" s="5">
        <v>44018</v>
      </c>
      <c r="E9" s="5">
        <v>44407</v>
      </c>
      <c r="F9" s="7" t="s">
        <v>33</v>
      </c>
      <c r="G9" s="1" t="s">
        <v>32</v>
      </c>
    </row>
    <row r="10" spans="1:7">
      <c r="A10" s="3" t="s">
        <v>9</v>
      </c>
      <c r="B10" s="3" t="s">
        <v>18</v>
      </c>
      <c r="C10" s="6" t="s">
        <v>47</v>
      </c>
      <c r="D10" s="5">
        <v>43675</v>
      </c>
      <c r="E10" s="5">
        <v>44407</v>
      </c>
      <c r="F10" s="7" t="s">
        <v>35</v>
      </c>
      <c r="G10" s="1" t="s">
        <v>34</v>
      </c>
    </row>
    <row r="11" spans="1:7">
      <c r="A11" s="3" t="s">
        <v>10</v>
      </c>
      <c r="B11" s="3" t="s">
        <v>19</v>
      </c>
      <c r="C11" s="6" t="s">
        <v>48</v>
      </c>
      <c r="D11" s="5">
        <v>43927</v>
      </c>
      <c r="E11" s="5">
        <v>44400</v>
      </c>
      <c r="F11" s="7" t="s">
        <v>37</v>
      </c>
      <c r="G11" s="2" t="s">
        <v>36</v>
      </c>
    </row>
    <row r="12" spans="1:7">
      <c r="A12" s="3" t="s">
        <v>11</v>
      </c>
      <c r="B12" s="3" t="s">
        <v>20</v>
      </c>
      <c r="C12" s="10" t="s">
        <v>49</v>
      </c>
      <c r="D12" s="9">
        <v>44354</v>
      </c>
      <c r="E12" s="9">
        <v>44400</v>
      </c>
      <c r="F12" s="7" t="s">
        <v>38</v>
      </c>
      <c r="G12" s="2" t="s">
        <v>24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5"/>
  <sheetViews>
    <sheetView workbookViewId="0">
      <selection sqref="A1:G1"/>
    </sheetView>
  </sheetViews>
  <sheetFormatPr defaultRowHeight="16.5"/>
  <sheetData>
    <row r="1" spans="1:7" ht="22.5">
      <c r="A1" s="72" t="s">
        <v>203</v>
      </c>
      <c r="B1" s="72"/>
      <c r="C1" s="72"/>
      <c r="D1" s="72"/>
      <c r="E1" s="72"/>
      <c r="F1" s="72"/>
      <c r="G1" s="72"/>
    </row>
    <row r="2" spans="1:7" ht="17.25" thickBot="1">
      <c r="E2" t="s">
        <v>204</v>
      </c>
      <c r="F2" s="67">
        <v>45762</v>
      </c>
      <c r="G2" s="67"/>
    </row>
    <row r="3" spans="1:7">
      <c r="A3" s="70" t="s">
        <v>185</v>
      </c>
      <c r="B3" s="68" t="s">
        <v>186</v>
      </c>
      <c r="C3" s="68"/>
      <c r="D3" s="68"/>
      <c r="E3" s="68" t="s">
        <v>187</v>
      </c>
      <c r="F3" s="68"/>
      <c r="G3" s="69"/>
    </row>
    <row r="4" spans="1:7">
      <c r="A4" s="71"/>
      <c r="B4" s="20" t="s">
        <v>188</v>
      </c>
      <c r="C4" s="20" t="s">
        <v>189</v>
      </c>
      <c r="D4" s="20" t="s">
        <v>190</v>
      </c>
      <c r="E4" s="20" t="s">
        <v>191</v>
      </c>
      <c r="F4" s="20" t="s">
        <v>189</v>
      </c>
      <c r="G4" s="22" t="s">
        <v>190</v>
      </c>
    </row>
    <row r="5" spans="1:7">
      <c r="A5" s="23" t="s">
        <v>193</v>
      </c>
      <c r="B5" s="21">
        <v>2000</v>
      </c>
      <c r="C5" s="21">
        <v>2000</v>
      </c>
      <c r="D5" s="21">
        <v>2200</v>
      </c>
      <c r="E5" s="21">
        <v>1924</v>
      </c>
      <c r="F5" s="21">
        <v>2122</v>
      </c>
      <c r="G5" s="24">
        <v>2154</v>
      </c>
    </row>
    <row r="6" spans="1:7">
      <c r="A6" s="23" t="s">
        <v>194</v>
      </c>
      <c r="B6" s="21">
        <v>2500</v>
      </c>
      <c r="C6" s="21">
        <v>2600</v>
      </c>
      <c r="D6" s="21">
        <v>2700</v>
      </c>
      <c r="E6" s="21">
        <v>2542</v>
      </c>
      <c r="F6" s="21">
        <v>2654</v>
      </c>
      <c r="G6" s="24">
        <v>2675</v>
      </c>
    </row>
    <row r="7" spans="1:7">
      <c r="A7" s="23" t="s">
        <v>195</v>
      </c>
      <c r="B7" s="21">
        <v>2200</v>
      </c>
      <c r="C7" s="21">
        <v>2400</v>
      </c>
      <c r="D7" s="21">
        <v>2500</v>
      </c>
      <c r="E7" s="21">
        <v>2341</v>
      </c>
      <c r="F7" s="21">
        <v>2485</v>
      </c>
      <c r="G7" s="24">
        <v>2547</v>
      </c>
    </row>
    <row r="8" spans="1:7">
      <c r="A8" s="23" t="s">
        <v>196</v>
      </c>
      <c r="B8" s="21">
        <v>2000</v>
      </c>
      <c r="C8" s="21">
        <v>2100</v>
      </c>
      <c r="D8" s="21">
        <v>2300</v>
      </c>
      <c r="E8" s="21">
        <v>2102</v>
      </c>
      <c r="F8" s="21">
        <v>2234</v>
      </c>
      <c r="G8" s="24">
        <v>2395</v>
      </c>
    </row>
    <row r="9" spans="1:7">
      <c r="A9" s="23" t="s">
        <v>197</v>
      </c>
      <c r="B9" s="21">
        <v>2400</v>
      </c>
      <c r="C9" s="21">
        <v>2300</v>
      </c>
      <c r="D9" s="21">
        <v>2400</v>
      </c>
      <c r="E9" s="21">
        <v>2310</v>
      </c>
      <c r="F9" s="21">
        <v>2395</v>
      </c>
      <c r="G9" s="24">
        <v>2547</v>
      </c>
    </row>
    <row r="10" spans="1:7">
      <c r="A10" s="23" t="s">
        <v>198</v>
      </c>
      <c r="B10" s="21">
        <v>2500</v>
      </c>
      <c r="C10" s="21">
        <v>2400</v>
      </c>
      <c r="D10" s="21">
        <v>2400</v>
      </c>
      <c r="E10" s="21">
        <v>2341</v>
      </c>
      <c r="F10" s="21">
        <v>2371</v>
      </c>
      <c r="G10" s="24">
        <v>2385</v>
      </c>
    </row>
    <row r="11" spans="1:7">
      <c r="A11" s="23" t="s">
        <v>199</v>
      </c>
      <c r="B11" s="21">
        <v>2500</v>
      </c>
      <c r="C11" s="21">
        <v>2600</v>
      </c>
      <c r="D11" s="21">
        <v>2700</v>
      </c>
      <c r="E11" s="21">
        <v>2599</v>
      </c>
      <c r="F11" s="21">
        <v>2687</v>
      </c>
      <c r="G11" s="24">
        <v>2491</v>
      </c>
    </row>
    <row r="12" spans="1:7">
      <c r="A12" s="23" t="s">
        <v>200</v>
      </c>
      <c r="B12" s="21">
        <v>2200</v>
      </c>
      <c r="C12" s="21">
        <v>2300</v>
      </c>
      <c r="D12" s="21">
        <v>2300</v>
      </c>
      <c r="E12" s="21">
        <v>2314</v>
      </c>
      <c r="F12" s="21">
        <v>2267</v>
      </c>
      <c r="G12" s="24">
        <v>2485</v>
      </c>
    </row>
    <row r="13" spans="1:7">
      <c r="A13" s="23" t="s">
        <v>201</v>
      </c>
      <c r="B13" s="21">
        <v>2000</v>
      </c>
      <c r="C13" s="21">
        <v>2200</v>
      </c>
      <c r="D13" s="21">
        <v>2200</v>
      </c>
      <c r="E13" s="21">
        <v>2146</v>
      </c>
      <c r="F13" s="21">
        <v>2179</v>
      </c>
      <c r="G13" s="24">
        <v>2317</v>
      </c>
    </row>
    <row r="14" spans="1:7">
      <c r="A14" s="23" t="s">
        <v>202</v>
      </c>
      <c r="B14" s="21">
        <v>2400</v>
      </c>
      <c r="C14" s="21">
        <v>2400</v>
      </c>
      <c r="D14" s="21">
        <v>2500</v>
      </c>
      <c r="E14" s="21">
        <v>2376</v>
      </c>
      <c r="F14" s="21">
        <v>2468</v>
      </c>
      <c r="G14" s="24">
        <v>2495</v>
      </c>
    </row>
    <row r="15" spans="1:7" ht="17.25" thickBot="1">
      <c r="A15" s="25" t="s">
        <v>192</v>
      </c>
      <c r="B15" s="26">
        <f>SUM(B5:B14)</f>
        <v>22700</v>
      </c>
      <c r="C15" s="26">
        <f t="shared" ref="C15:G15" si="0">SUM(C5:C14)</f>
        <v>23300</v>
      </c>
      <c r="D15" s="26">
        <f t="shared" si="0"/>
        <v>24200</v>
      </c>
      <c r="E15" s="26">
        <f t="shared" si="0"/>
        <v>22995</v>
      </c>
      <c r="F15" s="26">
        <f t="shared" si="0"/>
        <v>23862</v>
      </c>
      <c r="G15" s="27">
        <f t="shared" si="0"/>
        <v>24491</v>
      </c>
    </row>
  </sheetData>
  <mergeCells count="5">
    <mergeCell ref="F2:G2"/>
    <mergeCell ref="E3:G3"/>
    <mergeCell ref="B3:D3"/>
    <mergeCell ref="A3:A4"/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3"/>
  <sheetViews>
    <sheetView workbookViewId="0"/>
  </sheetViews>
  <sheetFormatPr defaultRowHeight="16.5"/>
  <sheetData>
    <row r="1" spans="1:7" ht="26.25">
      <c r="A1" s="73" t="s">
        <v>310</v>
      </c>
      <c r="B1" s="73"/>
      <c r="C1" s="73"/>
      <c r="D1" s="73"/>
      <c r="E1" s="73"/>
      <c r="F1" s="73"/>
      <c r="G1" s="73"/>
    </row>
    <row r="3" spans="1:7">
      <c r="A3" s="64" t="s">
        <v>311</v>
      </c>
      <c r="B3" s="64" t="s">
        <v>152</v>
      </c>
      <c r="C3" s="64" t="s">
        <v>312</v>
      </c>
      <c r="D3" s="64" t="s">
        <v>313</v>
      </c>
      <c r="E3" s="64" t="s">
        <v>314</v>
      </c>
      <c r="F3" s="64" t="s">
        <v>315</v>
      </c>
      <c r="G3" s="64" t="s">
        <v>316</v>
      </c>
    </row>
    <row r="4" spans="1:7">
      <c r="A4" s="64" t="s">
        <v>317</v>
      </c>
      <c r="B4" s="64" t="s">
        <v>339</v>
      </c>
      <c r="C4" s="64" t="s">
        <v>318</v>
      </c>
      <c r="D4" s="64">
        <v>13</v>
      </c>
      <c r="E4" s="64">
        <v>87</v>
      </c>
      <c r="F4" s="66">
        <v>0.35439814814814818</v>
      </c>
      <c r="G4" s="64" t="s">
        <v>319</v>
      </c>
    </row>
    <row r="5" spans="1:7">
      <c r="A5" s="64" t="s">
        <v>320</v>
      </c>
      <c r="B5" s="64" t="s">
        <v>321</v>
      </c>
      <c r="C5" s="64" t="s">
        <v>322</v>
      </c>
      <c r="D5" s="64">
        <v>5</v>
      </c>
      <c r="E5" s="64">
        <v>94</v>
      </c>
      <c r="F5" s="66">
        <v>0.36498842592592595</v>
      </c>
      <c r="G5" s="64" t="s">
        <v>323</v>
      </c>
    </row>
    <row r="6" spans="1:7">
      <c r="A6" s="64" t="s">
        <v>324</v>
      </c>
      <c r="B6" s="64" t="s">
        <v>325</v>
      </c>
      <c r="C6" s="64" t="s">
        <v>318</v>
      </c>
      <c r="D6" s="64">
        <v>3</v>
      </c>
      <c r="E6" s="64">
        <v>78</v>
      </c>
      <c r="F6" s="66">
        <v>0.33288194444444447</v>
      </c>
      <c r="G6" s="64" t="s">
        <v>319</v>
      </c>
    </row>
    <row r="7" spans="1:7">
      <c r="A7" s="64" t="s">
        <v>326</v>
      </c>
      <c r="B7" s="64" t="s">
        <v>327</v>
      </c>
      <c r="C7" s="64" t="s">
        <v>322</v>
      </c>
      <c r="D7" s="64">
        <v>8</v>
      </c>
      <c r="E7" s="64">
        <v>84</v>
      </c>
      <c r="F7" s="66">
        <v>0.34923611111111108</v>
      </c>
      <c r="G7" s="64" t="s">
        <v>323</v>
      </c>
    </row>
    <row r="8" spans="1:7">
      <c r="A8" s="64" t="s">
        <v>328</v>
      </c>
      <c r="B8" s="64" t="s">
        <v>329</v>
      </c>
      <c r="C8" s="64" t="s">
        <v>330</v>
      </c>
      <c r="D8" s="64">
        <v>12</v>
      </c>
      <c r="E8" s="64">
        <v>78</v>
      </c>
      <c r="F8" s="66">
        <v>0.32332175925925927</v>
      </c>
      <c r="G8" s="64" t="s">
        <v>319</v>
      </c>
    </row>
    <row r="9" spans="1:7">
      <c r="A9" s="64" t="s">
        <v>331</v>
      </c>
      <c r="B9" s="64" t="s">
        <v>332</v>
      </c>
      <c r="C9" s="64" t="s">
        <v>330</v>
      </c>
      <c r="D9" s="64">
        <v>16</v>
      </c>
      <c r="E9" s="64">
        <v>91</v>
      </c>
      <c r="F9" s="66">
        <v>0.3374537037037037</v>
      </c>
      <c r="G9" s="64" t="s">
        <v>319</v>
      </c>
    </row>
    <row r="10" spans="1:7">
      <c r="A10" s="64" t="s">
        <v>333</v>
      </c>
      <c r="B10" s="64" t="s">
        <v>340</v>
      </c>
      <c r="C10" s="64" t="s">
        <v>318</v>
      </c>
      <c r="D10" s="64">
        <v>7</v>
      </c>
      <c r="E10" s="64">
        <v>82</v>
      </c>
      <c r="F10" s="66">
        <v>0.34210648148148143</v>
      </c>
      <c r="G10" s="64" t="s">
        <v>323</v>
      </c>
    </row>
    <row r="11" spans="1:7">
      <c r="A11" s="64" t="s">
        <v>334</v>
      </c>
      <c r="B11" s="64" t="s">
        <v>335</v>
      </c>
      <c r="C11" s="64" t="s">
        <v>322</v>
      </c>
      <c r="D11" s="64">
        <v>20</v>
      </c>
      <c r="E11" s="64">
        <v>79</v>
      </c>
      <c r="F11" s="66">
        <v>0.37164351851851851</v>
      </c>
      <c r="G11" s="64" t="s">
        <v>323</v>
      </c>
    </row>
    <row r="12" spans="1:7">
      <c r="A12" s="64" t="s">
        <v>336</v>
      </c>
      <c r="B12" s="64" t="s">
        <v>341</v>
      </c>
      <c r="C12" s="64" t="s">
        <v>318</v>
      </c>
      <c r="D12" s="64">
        <v>18</v>
      </c>
      <c r="E12" s="64">
        <v>82</v>
      </c>
      <c r="F12" s="66">
        <v>0.33709490740740744</v>
      </c>
      <c r="G12" s="64" t="s">
        <v>319</v>
      </c>
    </row>
    <row r="13" spans="1:7">
      <c r="A13" s="64" t="s">
        <v>337</v>
      </c>
      <c r="B13" s="64" t="s">
        <v>338</v>
      </c>
      <c r="C13" s="64" t="s">
        <v>318</v>
      </c>
      <c r="D13" s="64">
        <v>2</v>
      </c>
      <c r="E13" s="64">
        <v>95</v>
      </c>
      <c r="F13" s="66">
        <v>0.32743055555555556</v>
      </c>
      <c r="G13" s="64" t="s">
        <v>319</v>
      </c>
    </row>
  </sheetData>
  <mergeCells count="1">
    <mergeCell ref="A1:G1"/>
  </mergeCells>
  <phoneticPr fontId="1" type="noConversion"/>
  <conditionalFormatting sqref="A4:G13">
    <cfRule type="expression" dxfId="10" priority="1">
      <formula>LEFT($B4,1)="김"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6"/>
  <sheetViews>
    <sheetView workbookViewId="0"/>
  </sheetViews>
  <sheetFormatPr defaultRowHeight="16.5"/>
  <cols>
    <col min="1" max="1" width="9.5" bestFit="1" customWidth="1"/>
    <col min="2" max="2" width="11.375" customWidth="1"/>
    <col min="4" max="4" width="10.625" bestFit="1" customWidth="1"/>
    <col min="7" max="7" width="13.125" bestFit="1" customWidth="1"/>
    <col min="12" max="12" width="10.75" bestFit="1" customWidth="1"/>
  </cols>
  <sheetData>
    <row r="1" spans="1:14">
      <c r="A1" s="42" t="s">
        <v>221</v>
      </c>
      <c r="B1" s="43" t="s">
        <v>222</v>
      </c>
      <c r="G1" s="44" t="s">
        <v>223</v>
      </c>
      <c r="H1" s="45" t="s">
        <v>224</v>
      </c>
      <c r="I1" s="46"/>
      <c r="J1" s="46"/>
      <c r="K1" s="46"/>
      <c r="L1" s="46"/>
      <c r="M1" s="46"/>
      <c r="N1" s="46"/>
    </row>
    <row r="2" spans="1:14">
      <c r="A2" s="39" t="s">
        <v>225</v>
      </c>
      <c r="B2" s="39" t="s">
        <v>226</v>
      </c>
      <c r="C2" s="39" t="s">
        <v>187</v>
      </c>
      <c r="D2" s="39" t="s">
        <v>227</v>
      </c>
      <c r="E2" s="47" t="s">
        <v>228</v>
      </c>
      <c r="G2" s="48" t="s">
        <v>229</v>
      </c>
      <c r="H2" s="48" t="s">
        <v>230</v>
      </c>
      <c r="I2" s="48" t="s">
        <v>231</v>
      </c>
      <c r="J2" s="48" t="s">
        <v>232</v>
      </c>
      <c r="K2" s="48" t="s">
        <v>233</v>
      </c>
      <c r="L2" s="48" t="s">
        <v>234</v>
      </c>
      <c r="M2" s="46"/>
      <c r="N2" s="46"/>
    </row>
    <row r="3" spans="1:14">
      <c r="A3" s="39" t="s">
        <v>235</v>
      </c>
      <c r="B3" s="49">
        <v>45691</v>
      </c>
      <c r="C3" s="50">
        <v>259</v>
      </c>
      <c r="D3" s="50">
        <v>1554000</v>
      </c>
      <c r="E3" s="39" t="str" cm="1">
        <f t="array" ref="E3">_xlfn.SWITCH(WEEKDAY(B3),1,"일요일",2,"월요일",3,"화요일",4,"수요일",5,"목요일",6,"금요일",7,"토요일")</f>
        <v>월요일</v>
      </c>
      <c r="G3" s="51" t="s">
        <v>236</v>
      </c>
      <c r="H3" s="48" t="s">
        <v>237</v>
      </c>
      <c r="I3" s="52">
        <v>38</v>
      </c>
      <c r="J3" s="53">
        <v>39</v>
      </c>
      <c r="K3" s="53">
        <v>18</v>
      </c>
      <c r="L3" s="53">
        <f t="shared" ref="L3:L10" si="0">SUM(I3:K3)</f>
        <v>95</v>
      </c>
      <c r="M3" s="46"/>
      <c r="N3" s="46"/>
    </row>
    <row r="4" spans="1:14">
      <c r="A4" s="39" t="s">
        <v>238</v>
      </c>
      <c r="B4" s="49">
        <v>45696</v>
      </c>
      <c r="C4" s="50">
        <v>224</v>
      </c>
      <c r="D4" s="50">
        <v>1344000</v>
      </c>
      <c r="E4" s="65" t="str" cm="1">
        <f t="array" ref="E4">_xlfn.SWITCH(WEEKDAY(B4),1,"일요일",2,"월요일",3,"화요일",4,"수요일",5,"목요일",6,"금요일",7,"토요일")</f>
        <v>토요일</v>
      </c>
      <c r="G4" s="51" t="s">
        <v>239</v>
      </c>
      <c r="H4" s="48" t="s">
        <v>240</v>
      </c>
      <c r="I4" s="52">
        <v>39</v>
      </c>
      <c r="J4" s="53">
        <v>38</v>
      </c>
      <c r="K4" s="53">
        <v>19</v>
      </c>
      <c r="L4" s="53">
        <f t="shared" si="0"/>
        <v>96</v>
      </c>
      <c r="M4" s="46"/>
      <c r="N4" s="46"/>
    </row>
    <row r="5" spans="1:14">
      <c r="A5" s="39" t="s">
        <v>241</v>
      </c>
      <c r="B5" s="49">
        <v>45701</v>
      </c>
      <c r="C5" s="50">
        <v>190</v>
      </c>
      <c r="D5" s="50">
        <v>950000</v>
      </c>
      <c r="E5" s="65" t="str" cm="1">
        <f t="array" ref="E5">_xlfn.SWITCH(WEEKDAY(B5),1,"일요일",2,"월요일",3,"화요일",4,"수요일",5,"목요일",6,"금요일",7,"토요일")</f>
        <v>목요일</v>
      </c>
      <c r="G5" s="51" t="s">
        <v>242</v>
      </c>
      <c r="H5" s="48" t="s">
        <v>243</v>
      </c>
      <c r="I5" s="52">
        <v>37</v>
      </c>
      <c r="J5" s="53">
        <v>36</v>
      </c>
      <c r="K5" s="53">
        <v>20</v>
      </c>
      <c r="L5" s="53">
        <f t="shared" si="0"/>
        <v>93</v>
      </c>
      <c r="M5" s="46"/>
      <c r="N5" s="46"/>
    </row>
    <row r="6" spans="1:14">
      <c r="A6" s="39" t="s">
        <v>244</v>
      </c>
      <c r="B6" s="49">
        <v>45706</v>
      </c>
      <c r="C6" s="50">
        <v>178</v>
      </c>
      <c r="D6" s="50">
        <v>890000</v>
      </c>
      <c r="E6" s="65" t="str" cm="1">
        <f t="array" ref="E6">_xlfn.SWITCH(WEEKDAY(B6),1,"일요일",2,"월요일",3,"화요일",4,"수요일",5,"목요일",6,"금요일",7,"토요일")</f>
        <v>화요일</v>
      </c>
      <c r="G6" s="51" t="s">
        <v>245</v>
      </c>
      <c r="H6" s="48" t="s">
        <v>246</v>
      </c>
      <c r="I6" s="52">
        <v>35</v>
      </c>
      <c r="J6" s="53">
        <v>32</v>
      </c>
      <c r="K6" s="53">
        <v>17</v>
      </c>
      <c r="L6" s="53">
        <f t="shared" si="0"/>
        <v>84</v>
      </c>
      <c r="M6" s="46"/>
      <c r="N6" s="46"/>
    </row>
    <row r="7" spans="1:14">
      <c r="A7" s="39" t="s">
        <v>247</v>
      </c>
      <c r="B7" s="49">
        <v>45711</v>
      </c>
      <c r="C7" s="50">
        <v>950</v>
      </c>
      <c r="D7" s="50">
        <v>2850000</v>
      </c>
      <c r="E7" s="65" t="str" cm="1">
        <f t="array" ref="E7">_xlfn.SWITCH(WEEKDAY(B7),1,"일요일",2,"월요일",3,"화요일",4,"수요일",5,"목요일",6,"금요일",7,"토요일")</f>
        <v>일요일</v>
      </c>
      <c r="G7" s="51" t="s">
        <v>248</v>
      </c>
      <c r="H7" s="48" t="s">
        <v>249</v>
      </c>
      <c r="I7" s="52">
        <v>36</v>
      </c>
      <c r="J7" s="53">
        <v>39</v>
      </c>
      <c r="K7" s="53">
        <v>16</v>
      </c>
      <c r="L7" s="53">
        <f t="shared" si="0"/>
        <v>91</v>
      </c>
      <c r="M7" s="46"/>
      <c r="N7" s="46"/>
    </row>
    <row r="8" spans="1:14">
      <c r="A8" s="39" t="s">
        <v>250</v>
      </c>
      <c r="B8" s="49">
        <v>45716</v>
      </c>
      <c r="C8" s="50">
        <v>384</v>
      </c>
      <c r="D8" s="50">
        <v>768000</v>
      </c>
      <c r="E8" s="65" t="str" cm="1">
        <f t="array" ref="E8">_xlfn.SWITCH(WEEKDAY(B8),1,"일요일",2,"월요일",3,"화요일",4,"수요일",5,"목요일",6,"금요일",7,"토요일")</f>
        <v>금요일</v>
      </c>
      <c r="G8" s="51" t="s">
        <v>251</v>
      </c>
      <c r="H8" s="48" t="s">
        <v>243</v>
      </c>
      <c r="I8" s="52">
        <v>34</v>
      </c>
      <c r="J8" s="53">
        <v>36</v>
      </c>
      <c r="K8" s="53">
        <v>19</v>
      </c>
      <c r="L8" s="53">
        <f t="shared" si="0"/>
        <v>89</v>
      </c>
      <c r="M8" s="46"/>
      <c r="N8" s="46"/>
    </row>
    <row r="9" spans="1:14">
      <c r="A9" s="39" t="s">
        <v>252</v>
      </c>
      <c r="B9" s="49">
        <v>45719</v>
      </c>
      <c r="C9" s="50">
        <v>1220</v>
      </c>
      <c r="D9" s="50">
        <v>1220000</v>
      </c>
      <c r="E9" s="65" t="str" cm="1">
        <f t="array" ref="E9">_xlfn.SWITCH(WEEKDAY(B9),1,"일요일",2,"월요일",3,"화요일",4,"수요일",5,"목요일",6,"금요일",7,"토요일")</f>
        <v>월요일</v>
      </c>
      <c r="G9" s="51" t="s">
        <v>253</v>
      </c>
      <c r="H9" s="48" t="s">
        <v>240</v>
      </c>
      <c r="I9" s="52">
        <v>39</v>
      </c>
      <c r="J9" s="53">
        <v>34</v>
      </c>
      <c r="K9" s="53">
        <v>18</v>
      </c>
      <c r="L9" s="53">
        <f t="shared" si="0"/>
        <v>91</v>
      </c>
      <c r="M9" s="46"/>
      <c r="N9" s="54" t="s">
        <v>254</v>
      </c>
    </row>
    <row r="10" spans="1:14">
      <c r="A10" s="39" t="s">
        <v>255</v>
      </c>
      <c r="B10" s="49">
        <v>45724</v>
      </c>
      <c r="C10" s="50">
        <v>95</v>
      </c>
      <c r="D10" s="50">
        <v>855000</v>
      </c>
      <c r="E10" s="65" t="str" cm="1">
        <f t="array" ref="E10">_xlfn.SWITCH(WEEKDAY(B10),1,"일요일",2,"월요일",3,"화요일",4,"수요일",5,"목요일",6,"금요일",7,"토요일")</f>
        <v>토요일</v>
      </c>
      <c r="G10" s="51" t="s">
        <v>256</v>
      </c>
      <c r="H10" s="48" t="s">
        <v>237</v>
      </c>
      <c r="I10" s="52">
        <v>40</v>
      </c>
      <c r="J10" s="53">
        <v>39</v>
      </c>
      <c r="K10" s="53">
        <v>19</v>
      </c>
      <c r="L10" s="53">
        <f t="shared" si="0"/>
        <v>98</v>
      </c>
      <c r="M10" s="46"/>
      <c r="N10" s="48" t="s">
        <v>257</v>
      </c>
    </row>
    <row r="11" spans="1:14">
      <c r="A11" s="39" t="s">
        <v>258</v>
      </c>
      <c r="B11" s="49">
        <v>45729</v>
      </c>
      <c r="C11" s="50">
        <v>268</v>
      </c>
      <c r="D11" s="50">
        <v>804000</v>
      </c>
      <c r="E11" s="65" t="str" cm="1">
        <f t="array" ref="E11">_xlfn.SWITCH(WEEKDAY(B11),1,"일요일",2,"월요일",3,"화요일",4,"수요일",5,"목요일",6,"금요일",7,"토요일")</f>
        <v>목요일</v>
      </c>
      <c r="G11" s="74" t="s">
        <v>259</v>
      </c>
      <c r="H11" s="75"/>
      <c r="I11" s="75"/>
      <c r="J11" s="75"/>
      <c r="K11" s="76"/>
      <c r="L11" s="53" t="str">
        <f>DMAX(G2:L10,L2,N10:N11)&amp;"(최소 "&amp;DMIN(G2:L10,L2,N10:N11)&amp;")"</f>
        <v>98(최소 84)</v>
      </c>
      <c r="M11" s="46"/>
      <c r="N11" s="48" t="s">
        <v>237</v>
      </c>
    </row>
    <row r="13" spans="1:14">
      <c r="A13" s="55" t="s">
        <v>260</v>
      </c>
      <c r="B13" s="56" t="s">
        <v>261</v>
      </c>
      <c r="C13" s="57"/>
      <c r="D13" s="57"/>
      <c r="E13" s="57"/>
      <c r="G13" s="42" t="s">
        <v>262</v>
      </c>
      <c r="H13" s="43" t="s">
        <v>263</v>
      </c>
    </row>
    <row r="14" spans="1:14">
      <c r="A14" s="58" t="s">
        <v>264</v>
      </c>
      <c r="B14" s="58" t="s">
        <v>265</v>
      </c>
      <c r="C14" s="58" t="s">
        <v>266</v>
      </c>
      <c r="D14" s="58" t="s">
        <v>267</v>
      </c>
      <c r="E14" s="59" t="s">
        <v>268</v>
      </c>
      <c r="G14" s="39" t="s">
        <v>269</v>
      </c>
      <c r="H14" s="39" t="s">
        <v>270</v>
      </c>
      <c r="I14" s="39" t="s">
        <v>271</v>
      </c>
      <c r="J14" s="39" t="s">
        <v>272</v>
      </c>
      <c r="K14" s="47" t="s">
        <v>273</v>
      </c>
    </row>
    <row r="15" spans="1:14">
      <c r="A15" s="60" t="s">
        <v>274</v>
      </c>
      <c r="B15" s="60">
        <v>95</v>
      </c>
      <c r="C15" s="60">
        <v>70</v>
      </c>
      <c r="D15" s="60">
        <v>45</v>
      </c>
      <c r="E15" s="60" t="str">
        <f>IF(AND(OR(B15&gt;=70,C15&gt;=70),D15&gt;=80),"합격","불합격")</f>
        <v>불합격</v>
      </c>
      <c r="G15" s="39" t="s">
        <v>275</v>
      </c>
      <c r="H15" s="61">
        <v>0.3888888888888889</v>
      </c>
      <c r="I15" s="50">
        <v>14100</v>
      </c>
      <c r="J15" s="39">
        <v>2</v>
      </c>
      <c r="K15" s="39" t="str" cm="1">
        <f t="array" ref="K15">_xlfn.IFS(I15=MAX($I$15:$I$24),"최고요금",I15=MIN($I$15:$I$24),"최저요금",TRUE,"")</f>
        <v/>
      </c>
    </row>
    <row r="16" spans="1:14">
      <c r="A16" s="60" t="s">
        <v>276</v>
      </c>
      <c r="B16" s="60">
        <v>95</v>
      </c>
      <c r="C16" s="60">
        <v>90</v>
      </c>
      <c r="D16" s="60">
        <v>95</v>
      </c>
      <c r="E16" s="60" t="str">
        <f t="shared" ref="E16:E24" si="1">IF(AND(OR(B16&gt;=70,C16&gt;=70),D16&gt;=80),"합격","불합격")</f>
        <v>합격</v>
      </c>
      <c r="G16" s="39" t="s">
        <v>277</v>
      </c>
      <c r="H16" s="61">
        <v>0.43055555555555558</v>
      </c>
      <c r="I16" s="50">
        <v>8400</v>
      </c>
      <c r="J16" s="39">
        <v>4</v>
      </c>
      <c r="K16" s="65" t="str" cm="1">
        <f t="array" ref="K16">_xlfn.IFS(I16=MAX($I$15:$I$24),"최고요금",I16=MIN($I$15:$I$24),"최저요금",TRUE,"")</f>
        <v>최저요금</v>
      </c>
    </row>
    <row r="17" spans="1:11">
      <c r="A17" s="60" t="s">
        <v>278</v>
      </c>
      <c r="B17" s="60">
        <v>65</v>
      </c>
      <c r="C17" s="60">
        <v>85</v>
      </c>
      <c r="D17" s="60">
        <v>65</v>
      </c>
      <c r="E17" s="60" t="str">
        <f t="shared" si="1"/>
        <v>불합격</v>
      </c>
      <c r="G17" s="39" t="s">
        <v>279</v>
      </c>
      <c r="H17" s="61">
        <v>0.47222222222222199</v>
      </c>
      <c r="I17" s="50">
        <v>18500</v>
      </c>
      <c r="J17" s="39">
        <v>5</v>
      </c>
      <c r="K17" s="65" t="str" cm="1">
        <f t="array" ref="K17">_xlfn.IFS(I17=MAX($I$15:$I$24),"최고요금",I17=MIN($I$15:$I$24),"최저요금",TRUE,"")</f>
        <v/>
      </c>
    </row>
    <row r="18" spans="1:11">
      <c r="A18" s="60" t="s">
        <v>280</v>
      </c>
      <c r="B18" s="60">
        <v>50</v>
      </c>
      <c r="C18" s="60">
        <v>75</v>
      </c>
      <c r="D18" s="60">
        <v>85</v>
      </c>
      <c r="E18" s="60" t="str">
        <f t="shared" si="1"/>
        <v>합격</v>
      </c>
      <c r="G18" s="39" t="s">
        <v>281</v>
      </c>
      <c r="H18" s="61">
        <v>0.51388888888888895</v>
      </c>
      <c r="I18" s="50">
        <v>23700</v>
      </c>
      <c r="J18" s="39">
        <v>3</v>
      </c>
      <c r="K18" s="65" t="str" cm="1">
        <f t="array" ref="K18">_xlfn.IFS(I18=MAX($I$15:$I$24),"최고요금",I18=MIN($I$15:$I$24),"최저요금",TRUE,"")</f>
        <v/>
      </c>
    </row>
    <row r="19" spans="1:11">
      <c r="A19" s="60" t="s">
        <v>282</v>
      </c>
      <c r="B19" s="60">
        <v>75</v>
      </c>
      <c r="C19" s="60">
        <v>65</v>
      </c>
      <c r="D19" s="60">
        <v>85</v>
      </c>
      <c r="E19" s="60" t="str">
        <f t="shared" si="1"/>
        <v>합격</v>
      </c>
      <c r="G19" s="39" t="s">
        <v>283</v>
      </c>
      <c r="H19" s="61">
        <v>0.55555555555555602</v>
      </c>
      <c r="I19" s="50">
        <v>49300</v>
      </c>
      <c r="J19" s="39">
        <v>3</v>
      </c>
      <c r="K19" s="65" t="str" cm="1">
        <f t="array" ref="K19">_xlfn.IFS(I19=MAX($I$15:$I$24),"최고요금",I19=MIN($I$15:$I$24),"최저요금",TRUE,"")</f>
        <v/>
      </c>
    </row>
    <row r="20" spans="1:11">
      <c r="A20" s="60" t="s">
        <v>284</v>
      </c>
      <c r="B20" s="60">
        <v>95</v>
      </c>
      <c r="C20" s="60">
        <v>80</v>
      </c>
      <c r="D20" s="60">
        <v>55</v>
      </c>
      <c r="E20" s="60" t="str">
        <f t="shared" si="1"/>
        <v>불합격</v>
      </c>
      <c r="G20" s="39" t="s">
        <v>285</v>
      </c>
      <c r="H20" s="61">
        <v>0.59722222222222199</v>
      </c>
      <c r="I20" s="50">
        <v>41300</v>
      </c>
      <c r="J20" s="39">
        <v>1</v>
      </c>
      <c r="K20" s="65" t="str" cm="1">
        <f t="array" ref="K20">_xlfn.IFS(I20=MAX($I$15:$I$24),"최고요금",I20=MIN($I$15:$I$24),"최저요금",TRUE,"")</f>
        <v/>
      </c>
    </row>
    <row r="21" spans="1:11">
      <c r="A21" s="60" t="s">
        <v>286</v>
      </c>
      <c r="B21" s="60">
        <v>85</v>
      </c>
      <c r="C21" s="60">
        <v>55</v>
      </c>
      <c r="D21" s="60">
        <v>75</v>
      </c>
      <c r="E21" s="60" t="str">
        <f t="shared" si="1"/>
        <v>불합격</v>
      </c>
      <c r="G21" s="39" t="s">
        <v>287</v>
      </c>
      <c r="H21" s="61">
        <v>0.63888888888888895</v>
      </c>
      <c r="I21" s="50">
        <v>53500</v>
      </c>
      <c r="J21" s="39">
        <v>5</v>
      </c>
      <c r="K21" s="65" t="str" cm="1">
        <f t="array" ref="K21">_xlfn.IFS(I21=MAX($I$15:$I$24),"최고요금",I21=MIN($I$15:$I$24),"최저요금",TRUE,"")</f>
        <v/>
      </c>
    </row>
    <row r="22" spans="1:11">
      <c r="A22" s="60" t="s">
        <v>288</v>
      </c>
      <c r="B22" s="60">
        <v>55</v>
      </c>
      <c r="C22" s="60">
        <v>65</v>
      </c>
      <c r="D22" s="60">
        <v>75</v>
      </c>
      <c r="E22" s="60" t="str">
        <f t="shared" si="1"/>
        <v>불합격</v>
      </c>
      <c r="G22" s="39" t="s">
        <v>289</v>
      </c>
      <c r="H22" s="61">
        <v>0.68055555555555602</v>
      </c>
      <c r="I22" s="50">
        <v>57700</v>
      </c>
      <c r="J22" s="39">
        <v>9</v>
      </c>
      <c r="K22" s="65" t="str" cm="1">
        <f t="array" ref="K22">_xlfn.IFS(I22=MAX($I$15:$I$24),"최고요금",I22=MIN($I$15:$I$24),"최저요금",TRUE,"")</f>
        <v>최고요금</v>
      </c>
    </row>
    <row r="23" spans="1:11">
      <c r="A23" s="60" t="s">
        <v>290</v>
      </c>
      <c r="B23" s="60">
        <v>65</v>
      </c>
      <c r="C23" s="60">
        <v>85</v>
      </c>
      <c r="D23" s="60">
        <v>85</v>
      </c>
      <c r="E23" s="60" t="str">
        <f t="shared" si="1"/>
        <v>합격</v>
      </c>
      <c r="G23" s="39" t="s">
        <v>291</v>
      </c>
      <c r="H23" s="61">
        <v>0.72222222222222199</v>
      </c>
      <c r="I23" s="50">
        <v>24800</v>
      </c>
      <c r="J23" s="39">
        <v>3</v>
      </c>
      <c r="K23" s="65" t="str" cm="1">
        <f t="array" ref="K23">_xlfn.IFS(I23=MAX($I$15:$I$24),"최고요금",I23=MIN($I$15:$I$24),"최저요금",TRUE,"")</f>
        <v/>
      </c>
    </row>
    <row r="24" spans="1:11">
      <c r="A24" s="60" t="s">
        <v>292</v>
      </c>
      <c r="B24" s="60">
        <v>40</v>
      </c>
      <c r="C24" s="60">
        <v>55</v>
      </c>
      <c r="D24" s="60">
        <v>75</v>
      </c>
      <c r="E24" s="60" t="str">
        <f t="shared" si="1"/>
        <v>불합격</v>
      </c>
      <c r="G24" s="39" t="s">
        <v>293</v>
      </c>
      <c r="H24" s="61">
        <v>0.76388888888888895</v>
      </c>
      <c r="I24" s="50">
        <v>34800</v>
      </c>
      <c r="J24" s="39">
        <v>7</v>
      </c>
      <c r="K24" s="65" t="str" cm="1">
        <f t="array" ref="K24">_xlfn.IFS(I24=MAX($I$15:$I$24),"최고요금",I24=MIN($I$15:$I$24),"최저요금",TRUE,"")</f>
        <v/>
      </c>
    </row>
    <row r="26" spans="1:11">
      <c r="A26" s="42" t="s">
        <v>296</v>
      </c>
      <c r="B26" s="63" t="s">
        <v>297</v>
      </c>
    </row>
    <row r="27" spans="1:11">
      <c r="A27" s="14" t="s">
        <v>298</v>
      </c>
      <c r="B27" s="14" t="s">
        <v>299</v>
      </c>
      <c r="C27" s="14" t="s">
        <v>300</v>
      </c>
      <c r="D27" s="14" t="s">
        <v>301</v>
      </c>
      <c r="E27" s="47" t="s">
        <v>302</v>
      </c>
    </row>
    <row r="28" spans="1:11">
      <c r="A28" s="62">
        <v>45813</v>
      </c>
      <c r="B28" s="41" t="s">
        <v>294</v>
      </c>
      <c r="C28" s="19">
        <v>45000</v>
      </c>
      <c r="D28" s="19">
        <v>4500</v>
      </c>
      <c r="E28" s="41" t="str">
        <f>IF(SUM($D$28:D28)&gt;=30000,"골드",IF(SUM($D$28:D28)&gt;=20000,"브론즈",""))</f>
        <v/>
      </c>
    </row>
    <row r="29" spans="1:11">
      <c r="A29" s="62">
        <v>45820</v>
      </c>
      <c r="B29" s="41" t="s">
        <v>303</v>
      </c>
      <c r="C29" s="19">
        <v>45000</v>
      </c>
      <c r="D29" s="19">
        <v>4500</v>
      </c>
      <c r="E29" s="41" t="str">
        <f>IF(SUM($D$28:D29)&gt;=30000,"골드",IF(SUM($D$28:D29)&gt;=20000,"브론즈",""))</f>
        <v/>
      </c>
    </row>
    <row r="30" spans="1:11">
      <c r="A30" s="62">
        <v>45827</v>
      </c>
      <c r="B30" s="41" t="s">
        <v>295</v>
      </c>
      <c r="C30" s="19">
        <v>35000</v>
      </c>
      <c r="D30" s="19">
        <v>3500</v>
      </c>
      <c r="E30" s="41" t="str">
        <f>IF(SUM($D$28:D30)&gt;=30000,"골드",IF(SUM($D$28:D30)&gt;=20000,"브론즈",""))</f>
        <v/>
      </c>
    </row>
    <row r="31" spans="1:11">
      <c r="A31" s="62">
        <v>45834</v>
      </c>
      <c r="B31" s="41" t="s">
        <v>304</v>
      </c>
      <c r="C31" s="19">
        <v>40000</v>
      </c>
      <c r="D31" s="19">
        <v>4000</v>
      </c>
      <c r="E31" s="41" t="str">
        <f>IF(SUM($D$28:D31)&gt;=30000,"골드",IF(SUM($D$28:D31)&gt;=20000,"브론즈",""))</f>
        <v/>
      </c>
    </row>
    <row r="32" spans="1:11">
      <c r="A32" s="62">
        <v>45841</v>
      </c>
      <c r="B32" s="41" t="s">
        <v>305</v>
      </c>
      <c r="C32" s="19">
        <v>35000</v>
      </c>
      <c r="D32" s="19">
        <v>3500</v>
      </c>
      <c r="E32" s="41" t="str">
        <f>IF(SUM($D$28:D32)&gt;=30000,"골드",IF(SUM($D$28:D32)&gt;=20000,"브론즈",""))</f>
        <v>브론즈</v>
      </c>
    </row>
    <row r="33" spans="1:5">
      <c r="A33" s="62">
        <v>45848</v>
      </c>
      <c r="B33" s="41" t="s">
        <v>306</v>
      </c>
      <c r="C33" s="19">
        <v>40000</v>
      </c>
      <c r="D33" s="19">
        <v>4000</v>
      </c>
      <c r="E33" s="41" t="str">
        <f>IF(SUM($D$28:D33)&gt;=30000,"골드",IF(SUM($D$28:D33)&gt;=20000,"브론즈",""))</f>
        <v>브론즈</v>
      </c>
    </row>
    <row r="34" spans="1:5">
      <c r="A34" s="62">
        <v>45855</v>
      </c>
      <c r="B34" s="41" t="s">
        <v>307</v>
      </c>
      <c r="C34" s="19">
        <v>45000</v>
      </c>
      <c r="D34" s="19">
        <v>4500</v>
      </c>
      <c r="E34" s="41" t="str">
        <f>IF(SUM($D$28:D34)&gt;=30000,"골드",IF(SUM($D$28:D34)&gt;=20000,"브론즈",""))</f>
        <v>브론즈</v>
      </c>
    </row>
    <row r="35" spans="1:5">
      <c r="A35" s="62">
        <v>45862</v>
      </c>
      <c r="B35" s="41" t="s">
        <v>308</v>
      </c>
      <c r="C35" s="19">
        <v>45000</v>
      </c>
      <c r="D35" s="19">
        <v>4500</v>
      </c>
      <c r="E35" s="41" t="str">
        <f>IF(SUM($D$28:D35)&gt;=30000,"골드",IF(SUM($D$28:D35)&gt;=20000,"브론즈",""))</f>
        <v>골드</v>
      </c>
    </row>
    <row r="36" spans="1:5">
      <c r="A36" s="62">
        <v>45869</v>
      </c>
      <c r="B36" s="41" t="s">
        <v>309</v>
      </c>
      <c r="C36" s="19">
        <v>30000</v>
      </c>
      <c r="D36" s="19">
        <v>3000</v>
      </c>
      <c r="E36" s="41" t="str">
        <f>IF(SUM($D$28:D36)&gt;=30000,"골드",IF(SUM($D$28:D36)&gt;=20000,"브론즈",""))</f>
        <v>골드</v>
      </c>
    </row>
  </sheetData>
  <mergeCells count="1">
    <mergeCell ref="G11:K11"/>
  </mergeCells>
  <phoneticPr fontId="1" type="noConversion"/>
  <pageMargins left="0.7" right="0.7" top="0.75" bottom="0.75" header="0.3" footer="0.3"/>
  <ignoredErrors>
    <ignoredError sqref="E29:E3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33"/>
  <sheetViews>
    <sheetView workbookViewId="0"/>
  </sheetViews>
  <sheetFormatPr defaultRowHeight="16.5"/>
  <cols>
    <col min="5" max="5" width="11" bestFit="1" customWidth="1"/>
    <col min="9" max="9" width="11.375" customWidth="1"/>
    <col min="10" max="11" width="10.625" customWidth="1"/>
    <col min="12" max="16" width="8.875" bestFit="1" customWidth="1"/>
    <col min="17" max="17" width="6.875" customWidth="1"/>
    <col min="18" max="23" width="8.875" bestFit="1" customWidth="1"/>
    <col min="24" max="25" width="15.125" bestFit="1" customWidth="1"/>
  </cols>
  <sheetData>
    <row r="1" spans="1:11">
      <c r="A1" t="s">
        <v>209</v>
      </c>
    </row>
    <row r="3" spans="1:11">
      <c r="A3" s="12" t="s">
        <v>92</v>
      </c>
      <c r="B3" s="12" t="s">
        <v>93</v>
      </c>
      <c r="C3" s="12" t="s">
        <v>94</v>
      </c>
      <c r="D3" s="12" t="s">
        <v>95</v>
      </c>
      <c r="E3" s="12" t="s">
        <v>96</v>
      </c>
      <c r="F3" s="12" t="s">
        <v>97</v>
      </c>
      <c r="G3" s="12" t="s">
        <v>98</v>
      </c>
    </row>
    <row r="4" spans="1:11">
      <c r="A4" s="12" t="s">
        <v>99</v>
      </c>
      <c r="B4" s="12" t="s">
        <v>100</v>
      </c>
      <c r="C4" s="12">
        <v>2025.02</v>
      </c>
      <c r="D4" s="12" t="s">
        <v>101</v>
      </c>
      <c r="E4" s="12" t="s">
        <v>102</v>
      </c>
      <c r="F4" s="19">
        <v>5324</v>
      </c>
      <c r="G4" s="19">
        <v>954</v>
      </c>
    </row>
    <row r="5" spans="1:11">
      <c r="A5" s="12" t="s">
        <v>103</v>
      </c>
      <c r="B5" s="12" t="s">
        <v>104</v>
      </c>
      <c r="C5" s="12">
        <v>2025.06</v>
      </c>
      <c r="D5" s="12">
        <v>1074</v>
      </c>
      <c r="E5" s="12" t="s">
        <v>105</v>
      </c>
      <c r="F5" s="19">
        <v>6512</v>
      </c>
      <c r="G5" s="19">
        <v>3520</v>
      </c>
      <c r="I5" s="28" t="s">
        <v>205</v>
      </c>
      <c r="J5" t="s">
        <v>207</v>
      </c>
      <c r="K5" t="s">
        <v>208</v>
      </c>
    </row>
    <row r="6" spans="1:11">
      <c r="A6" s="12" t="s">
        <v>106</v>
      </c>
      <c r="B6" s="12" t="s">
        <v>107</v>
      </c>
      <c r="C6" s="12">
        <v>2025.05</v>
      </c>
      <c r="D6" s="12" t="s">
        <v>108</v>
      </c>
      <c r="E6" s="12" t="s">
        <v>109</v>
      </c>
      <c r="F6" s="19">
        <v>1962</v>
      </c>
      <c r="G6" s="19">
        <v>1380</v>
      </c>
      <c r="I6" s="29" t="s">
        <v>110</v>
      </c>
      <c r="J6" s="30">
        <v>9427</v>
      </c>
      <c r="K6" s="30">
        <v>3651</v>
      </c>
    </row>
    <row r="7" spans="1:11">
      <c r="A7" s="12" t="s">
        <v>110</v>
      </c>
      <c r="B7" s="12" t="s">
        <v>111</v>
      </c>
      <c r="C7" s="12">
        <v>2025.05</v>
      </c>
      <c r="D7" s="12" t="s">
        <v>112</v>
      </c>
      <c r="E7" s="12" t="s">
        <v>113</v>
      </c>
      <c r="F7" s="19">
        <v>1235</v>
      </c>
      <c r="G7" s="19">
        <v>325</v>
      </c>
      <c r="I7" s="29" t="s">
        <v>117</v>
      </c>
      <c r="J7" s="30">
        <v>19935</v>
      </c>
      <c r="K7" s="30">
        <v>9042</v>
      </c>
    </row>
    <row r="8" spans="1:11">
      <c r="A8" s="12" t="s">
        <v>99</v>
      </c>
      <c r="B8" s="12" t="s">
        <v>100</v>
      </c>
      <c r="C8" s="12">
        <v>2025.06</v>
      </c>
      <c r="D8" s="12">
        <v>3061</v>
      </c>
      <c r="E8" s="12" t="s">
        <v>114</v>
      </c>
      <c r="F8" s="19">
        <v>1986</v>
      </c>
      <c r="G8" s="19">
        <v>1010</v>
      </c>
      <c r="I8" s="29" t="s">
        <v>103</v>
      </c>
      <c r="J8" s="30">
        <v>24172</v>
      </c>
      <c r="K8" s="30">
        <v>12035</v>
      </c>
    </row>
    <row r="9" spans="1:11">
      <c r="A9" s="12" t="s">
        <v>106</v>
      </c>
      <c r="B9" s="12" t="s">
        <v>107</v>
      </c>
      <c r="C9" s="12">
        <v>2025.03</v>
      </c>
      <c r="D9" s="12" t="s">
        <v>115</v>
      </c>
      <c r="E9" s="12" t="s">
        <v>116</v>
      </c>
      <c r="F9" s="19">
        <v>1594</v>
      </c>
      <c r="G9" s="19">
        <v>899</v>
      </c>
      <c r="I9" s="29" t="s">
        <v>106</v>
      </c>
      <c r="J9" s="30">
        <v>9365</v>
      </c>
      <c r="K9" s="30">
        <v>4862</v>
      </c>
    </row>
    <row r="10" spans="1:11">
      <c r="A10" s="12" t="s">
        <v>117</v>
      </c>
      <c r="B10" s="12" t="s">
        <v>118</v>
      </c>
      <c r="C10" s="12">
        <v>2025.02</v>
      </c>
      <c r="D10" s="12" t="s">
        <v>119</v>
      </c>
      <c r="E10" s="12" t="s">
        <v>120</v>
      </c>
      <c r="F10" s="19">
        <v>5428</v>
      </c>
      <c r="G10" s="19">
        <v>2410</v>
      </c>
      <c r="I10" s="29" t="s">
        <v>99</v>
      </c>
      <c r="J10" s="30">
        <v>24521</v>
      </c>
      <c r="K10" s="30">
        <v>8404</v>
      </c>
    </row>
    <row r="11" spans="1:11">
      <c r="A11" s="12" t="s">
        <v>99</v>
      </c>
      <c r="B11" s="12" t="s">
        <v>100</v>
      </c>
      <c r="C11" s="12">
        <v>2025.04</v>
      </c>
      <c r="D11" s="12" t="s">
        <v>121</v>
      </c>
      <c r="E11" s="12" t="s">
        <v>122</v>
      </c>
      <c r="F11" s="19">
        <v>3856</v>
      </c>
      <c r="G11" s="19">
        <v>842</v>
      </c>
      <c r="I11" s="29" t="s">
        <v>206</v>
      </c>
      <c r="J11" s="30">
        <v>87420</v>
      </c>
      <c r="K11" s="30">
        <v>37994</v>
      </c>
    </row>
    <row r="12" spans="1:11">
      <c r="A12" s="12" t="s">
        <v>110</v>
      </c>
      <c r="B12" s="12" t="s">
        <v>111</v>
      </c>
      <c r="C12" s="12">
        <v>2025.04</v>
      </c>
      <c r="D12" s="12">
        <v>2046</v>
      </c>
      <c r="E12" s="12" t="s">
        <v>123</v>
      </c>
      <c r="F12" s="19">
        <v>1755</v>
      </c>
      <c r="G12" s="19">
        <v>436</v>
      </c>
    </row>
    <row r="13" spans="1:11">
      <c r="A13" s="12" t="s">
        <v>110</v>
      </c>
      <c r="B13" s="12" t="s">
        <v>111</v>
      </c>
      <c r="C13" s="12">
        <v>2025.05</v>
      </c>
      <c r="D13" s="12">
        <v>1086</v>
      </c>
      <c r="E13" s="12" t="s">
        <v>124</v>
      </c>
      <c r="F13" s="19">
        <v>1520</v>
      </c>
      <c r="G13" s="19">
        <v>425</v>
      </c>
    </row>
    <row r="14" spans="1:11">
      <c r="A14" s="12" t="s">
        <v>103</v>
      </c>
      <c r="B14" s="12" t="s">
        <v>104</v>
      </c>
      <c r="C14" s="12">
        <v>2025.06</v>
      </c>
      <c r="D14" s="12">
        <v>3064</v>
      </c>
      <c r="E14" s="12" t="s">
        <v>125</v>
      </c>
      <c r="F14" s="19">
        <v>3874</v>
      </c>
      <c r="G14" s="19">
        <v>1841</v>
      </c>
    </row>
    <row r="15" spans="1:11">
      <c r="A15" s="12" t="s">
        <v>117</v>
      </c>
      <c r="B15" s="12" t="s">
        <v>118</v>
      </c>
      <c r="C15" s="12">
        <v>2025.04</v>
      </c>
      <c r="D15" s="12">
        <v>3042</v>
      </c>
      <c r="E15" s="12" t="s">
        <v>126</v>
      </c>
      <c r="F15" s="19">
        <v>2386</v>
      </c>
      <c r="G15" s="19">
        <v>1164</v>
      </c>
    </row>
    <row r="16" spans="1:11">
      <c r="A16" s="12" t="s">
        <v>99</v>
      </c>
      <c r="B16" s="12" t="s">
        <v>100</v>
      </c>
      <c r="C16" s="12">
        <v>2025.04</v>
      </c>
      <c r="D16" s="12" t="s">
        <v>127</v>
      </c>
      <c r="E16" s="12" t="s">
        <v>128</v>
      </c>
      <c r="F16" s="19">
        <v>4620</v>
      </c>
      <c r="G16" s="19">
        <v>2150</v>
      </c>
    </row>
    <row r="17" spans="1:7">
      <c r="A17" s="12" t="s">
        <v>117</v>
      </c>
      <c r="B17" s="12" t="s">
        <v>118</v>
      </c>
      <c r="C17" s="12">
        <v>2025.03</v>
      </c>
      <c r="D17" s="12">
        <v>1072</v>
      </c>
      <c r="E17" s="12" t="s">
        <v>129</v>
      </c>
      <c r="F17" s="19">
        <v>1103</v>
      </c>
      <c r="G17" s="19">
        <v>557</v>
      </c>
    </row>
    <row r="18" spans="1:7">
      <c r="A18" s="12" t="s">
        <v>99</v>
      </c>
      <c r="B18" s="12" t="s">
        <v>100</v>
      </c>
      <c r="C18" s="12">
        <v>2025.05</v>
      </c>
      <c r="D18" s="12" t="s">
        <v>130</v>
      </c>
      <c r="E18" s="12" t="s">
        <v>131</v>
      </c>
      <c r="F18" s="19">
        <v>2210</v>
      </c>
      <c r="G18" s="19">
        <v>1243</v>
      </c>
    </row>
    <row r="19" spans="1:7">
      <c r="A19" s="12" t="s">
        <v>110</v>
      </c>
      <c r="B19" s="12" t="s">
        <v>111</v>
      </c>
      <c r="C19" s="12">
        <v>2025.04</v>
      </c>
      <c r="D19" s="12">
        <v>3076</v>
      </c>
      <c r="E19" s="12" t="s">
        <v>132</v>
      </c>
      <c r="F19" s="19">
        <v>2263</v>
      </c>
      <c r="G19" s="19">
        <v>1360</v>
      </c>
    </row>
    <row r="20" spans="1:7">
      <c r="A20" s="12" t="s">
        <v>106</v>
      </c>
      <c r="B20" s="12" t="s">
        <v>107</v>
      </c>
      <c r="C20" s="12">
        <v>2025.06</v>
      </c>
      <c r="D20" s="12">
        <v>1065</v>
      </c>
      <c r="E20" s="12" t="s">
        <v>133</v>
      </c>
      <c r="F20" s="19">
        <v>2170</v>
      </c>
      <c r="G20" s="19">
        <v>1207</v>
      </c>
    </row>
    <row r="21" spans="1:7">
      <c r="A21" s="12" t="s">
        <v>103</v>
      </c>
      <c r="B21" s="12" t="s">
        <v>104</v>
      </c>
      <c r="C21" s="12">
        <v>2025.04</v>
      </c>
      <c r="D21" s="12">
        <v>2044</v>
      </c>
      <c r="E21" s="12" t="s">
        <v>134</v>
      </c>
      <c r="F21" s="19">
        <v>2531</v>
      </c>
      <c r="G21" s="19">
        <v>856</v>
      </c>
    </row>
    <row r="22" spans="1:7">
      <c r="A22" s="12" t="s">
        <v>103</v>
      </c>
      <c r="B22" s="12" t="s">
        <v>104</v>
      </c>
      <c r="C22" s="12">
        <v>2025.02</v>
      </c>
      <c r="D22" s="12">
        <v>1084</v>
      </c>
      <c r="E22" s="12" t="s">
        <v>135</v>
      </c>
      <c r="F22" s="19">
        <v>5268</v>
      </c>
      <c r="G22" s="19">
        <v>3210</v>
      </c>
    </row>
    <row r="23" spans="1:7">
      <c r="A23" s="12" t="s">
        <v>99</v>
      </c>
      <c r="B23" s="12" t="s">
        <v>100</v>
      </c>
      <c r="C23" s="12">
        <v>2025.01</v>
      </c>
      <c r="D23" s="12" t="s">
        <v>136</v>
      </c>
      <c r="E23" s="12" t="s">
        <v>137</v>
      </c>
      <c r="F23" s="19">
        <v>1540</v>
      </c>
      <c r="G23" s="19">
        <v>965</v>
      </c>
    </row>
    <row r="24" spans="1:7">
      <c r="A24" s="12" t="s">
        <v>99</v>
      </c>
      <c r="B24" s="12" t="s">
        <v>100</v>
      </c>
      <c r="C24" s="12">
        <v>2025.03</v>
      </c>
      <c r="D24" s="12">
        <v>2031</v>
      </c>
      <c r="E24" s="12" t="s">
        <v>138</v>
      </c>
      <c r="F24" s="19">
        <v>4985</v>
      </c>
      <c r="G24" s="19">
        <v>1240</v>
      </c>
    </row>
    <row r="25" spans="1:7">
      <c r="A25" s="12" t="s">
        <v>117</v>
      </c>
      <c r="B25" s="12" t="s">
        <v>118</v>
      </c>
      <c r="C25" s="12">
        <v>2025.05</v>
      </c>
      <c r="D25" s="12" t="s">
        <v>139</v>
      </c>
      <c r="E25" s="12" t="s">
        <v>140</v>
      </c>
      <c r="F25" s="19">
        <v>3481</v>
      </c>
      <c r="G25" s="19">
        <v>1462</v>
      </c>
    </row>
    <row r="26" spans="1:7">
      <c r="A26" s="12" t="s">
        <v>110</v>
      </c>
      <c r="B26" s="12" t="s">
        <v>111</v>
      </c>
      <c r="C26" s="12">
        <v>2025.06</v>
      </c>
      <c r="D26" s="12" t="s">
        <v>141</v>
      </c>
      <c r="E26" s="12" t="s">
        <v>142</v>
      </c>
      <c r="F26" s="19">
        <v>2654</v>
      </c>
      <c r="G26" s="19">
        <v>1105</v>
      </c>
    </row>
    <row r="27" spans="1:7">
      <c r="A27" s="12" t="s">
        <v>106</v>
      </c>
      <c r="B27" s="12" t="s">
        <v>107</v>
      </c>
      <c r="C27" s="12">
        <v>2025.06</v>
      </c>
      <c r="D27" s="12">
        <v>3075</v>
      </c>
      <c r="E27" s="12" t="s">
        <v>143</v>
      </c>
      <c r="F27" s="19">
        <v>1254</v>
      </c>
      <c r="G27" s="19">
        <v>336</v>
      </c>
    </row>
    <row r="28" spans="1:7">
      <c r="A28" s="12" t="s">
        <v>103</v>
      </c>
      <c r="B28" s="12" t="s">
        <v>104</v>
      </c>
      <c r="C28" s="12">
        <v>2025.05</v>
      </c>
      <c r="D28" s="12" t="s">
        <v>144</v>
      </c>
      <c r="E28" s="12" t="s">
        <v>145</v>
      </c>
      <c r="F28" s="19">
        <v>2620</v>
      </c>
      <c r="G28" s="19">
        <v>1060</v>
      </c>
    </row>
    <row r="29" spans="1:7">
      <c r="A29" s="12" t="s">
        <v>117</v>
      </c>
      <c r="B29" s="12" t="s">
        <v>118</v>
      </c>
      <c r="C29" s="12">
        <v>2025.03</v>
      </c>
      <c r="D29" s="12">
        <v>2032</v>
      </c>
      <c r="E29" s="12" t="s">
        <v>146</v>
      </c>
      <c r="F29" s="19">
        <v>4751</v>
      </c>
      <c r="G29" s="19">
        <v>2150</v>
      </c>
    </row>
    <row r="30" spans="1:7">
      <c r="A30" s="12" t="s">
        <v>117</v>
      </c>
      <c r="B30" s="12" t="s">
        <v>118</v>
      </c>
      <c r="C30" s="12">
        <v>2025.06</v>
      </c>
      <c r="D30" s="12" t="s">
        <v>147</v>
      </c>
      <c r="E30" s="12" t="s">
        <v>148</v>
      </c>
      <c r="F30" s="19">
        <v>1658</v>
      </c>
      <c r="G30" s="19">
        <v>401</v>
      </c>
    </row>
    <row r="31" spans="1:7">
      <c r="A31" s="12" t="s">
        <v>103</v>
      </c>
      <c r="B31" s="12" t="s">
        <v>104</v>
      </c>
      <c r="C31" s="12">
        <v>2025.03</v>
      </c>
      <c r="D31" s="12">
        <v>74034</v>
      </c>
      <c r="E31" s="12" t="s">
        <v>149</v>
      </c>
      <c r="F31" s="19">
        <v>3367</v>
      </c>
      <c r="G31" s="19">
        <v>1548</v>
      </c>
    </row>
    <row r="32" spans="1:7">
      <c r="A32" s="12" t="s">
        <v>106</v>
      </c>
      <c r="B32" s="12" t="s">
        <v>107</v>
      </c>
      <c r="C32" s="12">
        <v>2025.04</v>
      </c>
      <c r="D32" s="12">
        <v>2045</v>
      </c>
      <c r="E32" s="12" t="s">
        <v>150</v>
      </c>
      <c r="F32" s="19">
        <v>2385</v>
      </c>
      <c r="G32" s="19">
        <v>1040</v>
      </c>
    </row>
    <row r="33" spans="1:7">
      <c r="A33" s="12" t="s">
        <v>117</v>
      </c>
      <c r="B33" s="12" t="s">
        <v>118</v>
      </c>
      <c r="C33" s="12">
        <v>2025.06</v>
      </c>
      <c r="D33" s="12">
        <v>47062</v>
      </c>
      <c r="E33" s="12" t="s">
        <v>151</v>
      </c>
      <c r="F33" s="19">
        <v>1128</v>
      </c>
      <c r="G33" s="19">
        <v>898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27"/>
  <sheetViews>
    <sheetView workbookViewId="0"/>
  </sheetViews>
  <sheetFormatPr defaultRowHeight="16.5" outlineLevelRow="3"/>
  <cols>
    <col min="1" max="1" width="11.5" customWidth="1"/>
    <col min="2" max="2" width="11.25" bestFit="1" customWidth="1"/>
    <col min="4" max="4" width="10.25" bestFit="1" customWidth="1"/>
    <col min="5" max="5" width="12.125" customWidth="1"/>
    <col min="6" max="6" width="9.875" customWidth="1"/>
  </cols>
  <sheetData>
    <row r="1" spans="1:7">
      <c r="A1" t="s">
        <v>210</v>
      </c>
    </row>
    <row r="3" spans="1:7">
      <c r="A3" s="37" t="s">
        <v>59</v>
      </c>
      <c r="B3" s="37" t="s">
        <v>60</v>
      </c>
      <c r="C3" s="37" t="s">
        <v>219</v>
      </c>
      <c r="D3" s="37" t="s">
        <v>61</v>
      </c>
      <c r="E3" s="37" t="s">
        <v>86</v>
      </c>
      <c r="F3" s="37" t="s">
        <v>62</v>
      </c>
      <c r="G3" s="37" t="s">
        <v>87</v>
      </c>
    </row>
    <row r="4" spans="1:7" outlineLevel="3">
      <c r="A4" s="14" t="s">
        <v>63</v>
      </c>
      <c r="B4" s="14" t="s">
        <v>66</v>
      </c>
      <c r="C4" s="15" t="s">
        <v>89</v>
      </c>
      <c r="D4" s="14" t="s">
        <v>77</v>
      </c>
      <c r="E4" s="18">
        <v>45789</v>
      </c>
      <c r="F4" s="16">
        <v>27</v>
      </c>
      <c r="G4" s="17">
        <v>130950</v>
      </c>
    </row>
    <row r="5" spans="1:7" outlineLevel="3">
      <c r="A5" s="14" t="s">
        <v>63</v>
      </c>
      <c r="B5" s="14" t="s">
        <v>66</v>
      </c>
      <c r="C5" s="14" t="s">
        <v>91</v>
      </c>
      <c r="D5" s="14" t="s">
        <v>77</v>
      </c>
      <c r="E5" s="18">
        <v>45789</v>
      </c>
      <c r="F5" s="16">
        <v>23</v>
      </c>
      <c r="G5" s="17">
        <v>111550</v>
      </c>
    </row>
    <row r="6" spans="1:7" outlineLevel="3">
      <c r="A6" s="14" t="s">
        <v>63</v>
      </c>
      <c r="B6" s="14" t="s">
        <v>66</v>
      </c>
      <c r="C6" s="14" t="s">
        <v>76</v>
      </c>
      <c r="D6" s="14" t="s">
        <v>77</v>
      </c>
      <c r="E6" s="18">
        <v>45792</v>
      </c>
      <c r="F6" s="16">
        <v>9</v>
      </c>
      <c r="G6" s="17">
        <v>132300</v>
      </c>
    </row>
    <row r="7" spans="1:7" outlineLevel="3">
      <c r="A7" s="14" t="s">
        <v>63</v>
      </c>
      <c r="B7" s="14" t="s">
        <v>66</v>
      </c>
      <c r="C7" s="14" t="s">
        <v>67</v>
      </c>
      <c r="D7" s="14" t="s">
        <v>68</v>
      </c>
      <c r="E7" s="18">
        <v>45798</v>
      </c>
      <c r="F7" s="16">
        <v>9</v>
      </c>
      <c r="G7" s="17">
        <v>89100</v>
      </c>
    </row>
    <row r="8" spans="1:7" outlineLevel="2">
      <c r="A8" s="14"/>
      <c r="B8" s="31" t="s">
        <v>215</v>
      </c>
      <c r="C8" s="14"/>
      <c r="D8" s="14"/>
      <c r="E8" s="18"/>
      <c r="F8" s="16">
        <f>SUBTOTAL(1,F4:F7)</f>
        <v>17</v>
      </c>
      <c r="G8" s="17">
        <f>SUBTOTAL(1,G4:G7)</f>
        <v>115975</v>
      </c>
    </row>
    <row r="9" spans="1:7" outlineLevel="3">
      <c r="A9" s="14" t="s">
        <v>63</v>
      </c>
      <c r="B9" s="14" t="s">
        <v>58</v>
      </c>
      <c r="C9" s="15" t="s">
        <v>79</v>
      </c>
      <c r="D9" s="14" t="s">
        <v>77</v>
      </c>
      <c r="E9" s="18">
        <v>45787</v>
      </c>
      <c r="F9" s="16">
        <v>19</v>
      </c>
      <c r="G9" s="17">
        <v>65960</v>
      </c>
    </row>
    <row r="10" spans="1:7" outlineLevel="3">
      <c r="A10" s="14" t="s">
        <v>63</v>
      </c>
      <c r="B10" s="14" t="s">
        <v>58</v>
      </c>
      <c r="C10" s="14" t="s">
        <v>90</v>
      </c>
      <c r="D10" s="14" t="s">
        <v>82</v>
      </c>
      <c r="E10" s="18">
        <v>45800</v>
      </c>
      <c r="F10" s="16">
        <v>19</v>
      </c>
      <c r="G10" s="17">
        <v>107520</v>
      </c>
    </row>
    <row r="11" spans="1:7" outlineLevel="3">
      <c r="A11" s="14" t="s">
        <v>63</v>
      </c>
      <c r="B11" s="14" t="s">
        <v>71</v>
      </c>
      <c r="C11" s="15" t="s">
        <v>88</v>
      </c>
      <c r="D11" s="14" t="s">
        <v>82</v>
      </c>
      <c r="E11" s="18">
        <v>45806</v>
      </c>
      <c r="F11" s="16">
        <v>16</v>
      </c>
      <c r="G11" s="17">
        <v>232800</v>
      </c>
    </row>
    <row r="12" spans="1:7" outlineLevel="2">
      <c r="A12" s="14"/>
      <c r="B12" s="31" t="s">
        <v>216</v>
      </c>
      <c r="C12" s="15"/>
      <c r="D12" s="14"/>
      <c r="E12" s="18"/>
      <c r="F12" s="16">
        <f>SUBTOTAL(1,F9:F11)</f>
        <v>18</v>
      </c>
      <c r="G12" s="17">
        <f>SUBTOTAL(1,G9:G11)</f>
        <v>135426.66666666666</v>
      </c>
    </row>
    <row r="13" spans="1:7" outlineLevel="1">
      <c r="A13" s="31" t="s">
        <v>212</v>
      </c>
      <c r="B13" s="14"/>
      <c r="C13" s="15"/>
      <c r="D13" s="14">
        <f>SUBTOTAL(3,D4:D11)</f>
        <v>7</v>
      </c>
      <c r="E13" s="18"/>
      <c r="F13" s="16"/>
      <c r="G13" s="17"/>
    </row>
    <row r="14" spans="1:7" outlineLevel="3">
      <c r="A14" s="14" t="s">
        <v>64</v>
      </c>
      <c r="B14" s="14" t="s">
        <v>66</v>
      </c>
      <c r="C14" s="15" t="s">
        <v>74</v>
      </c>
      <c r="D14" s="14" t="s">
        <v>73</v>
      </c>
      <c r="E14" s="18">
        <v>45785</v>
      </c>
      <c r="F14" s="16">
        <v>10</v>
      </c>
      <c r="G14" s="17">
        <v>147000</v>
      </c>
    </row>
    <row r="15" spans="1:7" outlineLevel="3">
      <c r="A15" s="14" t="s">
        <v>64</v>
      </c>
      <c r="B15" s="14" t="s">
        <v>211</v>
      </c>
      <c r="C15" s="15" t="s">
        <v>78</v>
      </c>
      <c r="D15" s="14" t="s">
        <v>73</v>
      </c>
      <c r="E15" s="18">
        <v>45785</v>
      </c>
      <c r="F15" s="16">
        <v>12</v>
      </c>
      <c r="G15" s="17">
        <v>174600</v>
      </c>
    </row>
    <row r="16" spans="1:7" outlineLevel="3">
      <c r="A16" s="14" t="s">
        <v>64</v>
      </c>
      <c r="B16" s="14" t="s">
        <v>66</v>
      </c>
      <c r="C16" s="14" t="s">
        <v>85</v>
      </c>
      <c r="D16" s="14" t="s">
        <v>65</v>
      </c>
      <c r="E16" s="18">
        <v>45789</v>
      </c>
      <c r="F16" s="16">
        <v>31</v>
      </c>
      <c r="G16" s="17">
        <v>150350</v>
      </c>
    </row>
    <row r="17" spans="1:7" outlineLevel="3">
      <c r="A17" s="14" t="s">
        <v>64</v>
      </c>
      <c r="B17" s="14" t="s">
        <v>66</v>
      </c>
      <c r="C17" s="15" t="s">
        <v>69</v>
      </c>
      <c r="D17" s="14" t="s">
        <v>65</v>
      </c>
      <c r="E17" s="18">
        <v>45790</v>
      </c>
      <c r="F17" s="16">
        <v>19</v>
      </c>
      <c r="G17" s="17">
        <v>44100</v>
      </c>
    </row>
    <row r="18" spans="1:7" outlineLevel="3">
      <c r="A18" s="14" t="s">
        <v>64</v>
      </c>
      <c r="B18" s="14" t="s">
        <v>66</v>
      </c>
      <c r="C18" s="15" t="s">
        <v>80</v>
      </c>
      <c r="D18" s="14" t="s">
        <v>81</v>
      </c>
      <c r="E18" s="18">
        <v>45800</v>
      </c>
      <c r="F18" s="16">
        <v>23</v>
      </c>
      <c r="G18" s="17">
        <v>152950</v>
      </c>
    </row>
    <row r="19" spans="1:7" outlineLevel="2">
      <c r="A19" s="14"/>
      <c r="B19" s="31" t="s">
        <v>215</v>
      </c>
      <c r="C19" s="15"/>
      <c r="D19" s="14"/>
      <c r="E19" s="18"/>
      <c r="F19" s="16">
        <f>SUBTOTAL(1,F14:F18)</f>
        <v>19</v>
      </c>
      <c r="G19" s="17">
        <f>SUBTOTAL(1,G14:G18)</f>
        <v>133800</v>
      </c>
    </row>
    <row r="20" spans="1:7" outlineLevel="3">
      <c r="A20" s="14" t="s">
        <v>64</v>
      </c>
      <c r="B20" s="14" t="s">
        <v>58</v>
      </c>
      <c r="C20" s="14" t="s">
        <v>75</v>
      </c>
      <c r="D20" s="14" t="s">
        <v>73</v>
      </c>
      <c r="E20" s="18">
        <v>45783</v>
      </c>
      <c r="F20" s="16">
        <v>8</v>
      </c>
      <c r="G20" s="17">
        <v>23760</v>
      </c>
    </row>
    <row r="21" spans="1:7" outlineLevel="3">
      <c r="A21" s="14" t="s">
        <v>64</v>
      </c>
      <c r="B21" s="14" t="s">
        <v>218</v>
      </c>
      <c r="C21" s="14" t="s">
        <v>83</v>
      </c>
      <c r="D21" s="14" t="s">
        <v>73</v>
      </c>
      <c r="E21" s="18">
        <v>45784</v>
      </c>
      <c r="F21" s="16">
        <v>7</v>
      </c>
      <c r="G21" s="17">
        <v>69300</v>
      </c>
    </row>
    <row r="22" spans="1:7" outlineLevel="3">
      <c r="A22" s="14" t="s">
        <v>64</v>
      </c>
      <c r="B22" s="14" t="s">
        <v>58</v>
      </c>
      <c r="C22" s="14" t="s">
        <v>84</v>
      </c>
      <c r="D22" s="14" t="s">
        <v>70</v>
      </c>
      <c r="E22" s="18">
        <v>45797</v>
      </c>
      <c r="F22" s="16">
        <v>22</v>
      </c>
      <c r="G22" s="17">
        <v>64020</v>
      </c>
    </row>
    <row r="23" spans="1:7" outlineLevel="3">
      <c r="A23" s="14" t="s">
        <v>64</v>
      </c>
      <c r="B23" s="14" t="s">
        <v>71</v>
      </c>
      <c r="C23" s="14" t="s">
        <v>72</v>
      </c>
      <c r="D23" s="14" t="s">
        <v>70</v>
      </c>
      <c r="E23" s="18">
        <v>45799</v>
      </c>
      <c r="F23" s="16">
        <v>11</v>
      </c>
      <c r="G23" s="17">
        <v>147000</v>
      </c>
    </row>
    <row r="24" spans="1:7" outlineLevel="2">
      <c r="A24" s="32"/>
      <c r="B24" s="36" t="s">
        <v>216</v>
      </c>
      <c r="C24" s="32"/>
      <c r="D24" s="32"/>
      <c r="E24" s="33"/>
      <c r="F24" s="34">
        <f>SUBTOTAL(1,F20:F23)</f>
        <v>12</v>
      </c>
      <c r="G24" s="35">
        <f>SUBTOTAL(1,G20:G23)</f>
        <v>76020</v>
      </c>
    </row>
    <row r="25" spans="1:7" outlineLevel="1">
      <c r="A25" s="36" t="s">
        <v>213</v>
      </c>
      <c r="B25" s="32"/>
      <c r="C25" s="32"/>
      <c r="D25" s="32">
        <f>SUBTOTAL(3,D14:D23)</f>
        <v>9</v>
      </c>
      <c r="E25" s="33"/>
      <c r="F25" s="34"/>
      <c r="G25" s="35"/>
    </row>
    <row r="26" spans="1:7">
      <c r="A26" s="36"/>
      <c r="B26" s="36" t="s">
        <v>217</v>
      </c>
      <c r="C26" s="32"/>
      <c r="D26" s="32"/>
      <c r="E26" s="33"/>
      <c r="F26" s="34">
        <f>SUBTOTAL(1,F4:F23)</f>
        <v>16.5625</v>
      </c>
      <c r="G26" s="35">
        <f>SUBTOTAL(1,G4:G23)</f>
        <v>115203.75</v>
      </c>
    </row>
    <row r="27" spans="1:7">
      <c r="A27" s="36" t="s">
        <v>214</v>
      </c>
      <c r="B27" s="32"/>
      <c r="C27" s="32"/>
      <c r="D27" s="32">
        <f>SUBTOTAL(3,D4:D23)</f>
        <v>16</v>
      </c>
      <c r="E27" s="33"/>
      <c r="F27" s="34"/>
      <c r="G27" s="35"/>
    </row>
  </sheetData>
  <sortState xmlns:xlrd2="http://schemas.microsoft.com/office/spreadsheetml/2017/richdata2" ref="A4:G19">
    <sortCondition ref="A4:A19"/>
    <sortCondition ref="B4:B19"/>
  </sortState>
  <phoneticPr fontId="1" type="noConversion"/>
  <conditionalFormatting sqref="E4:E27">
    <cfRule type="expression" dxfId="9" priority="1">
      <formula>WEKDAY($F4,2)&gt;=6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E17"/>
  <sheetViews>
    <sheetView workbookViewId="0"/>
  </sheetViews>
  <sheetFormatPr defaultRowHeight="16.5"/>
  <cols>
    <col min="2" max="2" width="14.125" customWidth="1"/>
    <col min="3" max="3" width="14.875" customWidth="1"/>
    <col min="4" max="5" width="10.375" bestFit="1" customWidth="1"/>
  </cols>
  <sheetData>
    <row r="2" spans="1:5">
      <c r="A2" s="12" t="s">
        <v>152</v>
      </c>
      <c r="B2" s="12" t="s">
        <v>153</v>
      </c>
      <c r="C2" s="12" t="s">
        <v>154</v>
      </c>
      <c r="D2" s="12" t="s">
        <v>155</v>
      </c>
      <c r="E2" s="12" t="s">
        <v>156</v>
      </c>
    </row>
    <row r="3" spans="1:5">
      <c r="A3" s="12" t="s">
        <v>157</v>
      </c>
      <c r="B3" s="38">
        <v>3202</v>
      </c>
      <c r="C3" s="12" t="s">
        <v>158</v>
      </c>
      <c r="D3" s="13">
        <v>1200</v>
      </c>
      <c r="E3" s="13">
        <v>20</v>
      </c>
    </row>
    <row r="4" spans="1:5">
      <c r="A4" s="12" t="s">
        <v>159</v>
      </c>
      <c r="B4" s="38">
        <v>31105</v>
      </c>
      <c r="C4" s="12" t="s">
        <v>160</v>
      </c>
      <c r="D4" s="13">
        <v>350</v>
      </c>
      <c r="E4" s="13">
        <v>30</v>
      </c>
    </row>
    <row r="5" spans="1:5">
      <c r="A5" s="12" t="s">
        <v>161</v>
      </c>
      <c r="B5" s="38">
        <v>3105</v>
      </c>
      <c r="C5" s="12" t="s">
        <v>162</v>
      </c>
      <c r="D5" s="13">
        <v>100</v>
      </c>
      <c r="E5" s="13">
        <v>50</v>
      </c>
    </row>
    <row r="6" spans="1:5">
      <c r="A6" s="12" t="s">
        <v>163</v>
      </c>
      <c r="B6" s="38">
        <v>3702</v>
      </c>
      <c r="C6" s="12" t="s">
        <v>164</v>
      </c>
      <c r="D6" s="13">
        <v>1150</v>
      </c>
      <c r="E6" s="13">
        <v>35</v>
      </c>
    </row>
    <row r="7" spans="1:5">
      <c r="A7" s="12" t="s">
        <v>165</v>
      </c>
      <c r="B7" s="38">
        <v>31203</v>
      </c>
      <c r="C7" s="12" t="s">
        <v>166</v>
      </c>
      <c r="D7" s="13">
        <v>852</v>
      </c>
      <c r="E7" s="13">
        <v>42</v>
      </c>
    </row>
    <row r="8" spans="1:5">
      <c r="A8" s="12" t="s">
        <v>167</v>
      </c>
      <c r="B8" s="38">
        <v>31401</v>
      </c>
      <c r="C8" s="12" t="s">
        <v>168</v>
      </c>
      <c r="D8" s="13">
        <v>510</v>
      </c>
      <c r="E8" s="13">
        <v>31</v>
      </c>
    </row>
    <row r="9" spans="1:5">
      <c r="A9" s="12" t="s">
        <v>169</v>
      </c>
      <c r="B9" s="38">
        <v>31506</v>
      </c>
      <c r="C9" s="12" t="s">
        <v>170</v>
      </c>
      <c r="D9" s="13">
        <v>380</v>
      </c>
      <c r="E9" s="13">
        <v>28</v>
      </c>
    </row>
    <row r="10" spans="1:5">
      <c r="A10" s="12" t="s">
        <v>171</v>
      </c>
      <c r="B10" s="38">
        <v>3904</v>
      </c>
      <c r="C10" s="12" t="s">
        <v>172</v>
      </c>
      <c r="D10" s="13">
        <v>120</v>
      </c>
      <c r="E10" s="13">
        <v>18</v>
      </c>
    </row>
    <row r="11" spans="1:5">
      <c r="A11" s="12" t="s">
        <v>173</v>
      </c>
      <c r="B11" s="38">
        <v>5101</v>
      </c>
      <c r="C11" s="12" t="s">
        <v>174</v>
      </c>
      <c r="D11" s="13">
        <v>1050</v>
      </c>
      <c r="E11" s="13">
        <v>15</v>
      </c>
    </row>
    <row r="12" spans="1:5">
      <c r="A12" s="12" t="s">
        <v>175</v>
      </c>
      <c r="B12" s="38">
        <v>51101</v>
      </c>
      <c r="C12" s="12" t="s">
        <v>176</v>
      </c>
      <c r="D12" s="13">
        <v>452</v>
      </c>
      <c r="E12" s="13">
        <v>24</v>
      </c>
    </row>
    <row r="13" spans="1:5">
      <c r="A13" s="12" t="s">
        <v>177</v>
      </c>
      <c r="B13" s="38">
        <v>51302</v>
      </c>
      <c r="C13" s="12" t="s">
        <v>178</v>
      </c>
      <c r="D13" s="13">
        <v>112</v>
      </c>
      <c r="E13" s="13">
        <v>22</v>
      </c>
    </row>
    <row r="14" spans="1:5">
      <c r="A14" s="12" t="s">
        <v>179</v>
      </c>
      <c r="B14" s="38">
        <v>5202</v>
      </c>
      <c r="C14" s="12" t="s">
        <v>180</v>
      </c>
      <c r="D14" s="13">
        <v>698</v>
      </c>
      <c r="E14" s="13">
        <v>37</v>
      </c>
    </row>
    <row r="15" spans="1:5">
      <c r="A15" s="12" t="s">
        <v>181</v>
      </c>
      <c r="B15" s="38">
        <v>5404</v>
      </c>
      <c r="C15" s="12" t="s">
        <v>182</v>
      </c>
      <c r="D15" s="13">
        <v>1010</v>
      </c>
      <c r="E15" s="13">
        <v>36</v>
      </c>
    </row>
    <row r="16" spans="1:5">
      <c r="A16" s="12" t="s">
        <v>183</v>
      </c>
      <c r="B16" s="38">
        <v>51503</v>
      </c>
      <c r="C16" s="12" t="s">
        <v>184</v>
      </c>
      <c r="D16" s="13">
        <v>950</v>
      </c>
      <c r="E16" s="13">
        <v>16</v>
      </c>
    </row>
    <row r="17" spans="1:5">
      <c r="A17" s="77" t="s">
        <v>220</v>
      </c>
      <c r="B17" s="77"/>
      <c r="C17" s="77"/>
      <c r="D17" s="40">
        <f>MAX(D3:D16)</f>
        <v>1200</v>
      </c>
      <c r="E17" s="40">
        <f>MAX(E3:E16)</f>
        <v>50</v>
      </c>
    </row>
  </sheetData>
  <mergeCells count="1">
    <mergeCell ref="A17:C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최대값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D8"/>
  <sheetViews>
    <sheetView workbookViewId="0"/>
  </sheetViews>
  <sheetFormatPr defaultRowHeight="16.5"/>
  <sheetData>
    <row r="2" spans="2:4">
      <c r="B2" t="s">
        <v>50</v>
      </c>
    </row>
    <row r="3" spans="2:4">
      <c r="B3" s="11" t="s">
        <v>51</v>
      </c>
      <c r="C3" s="11" t="s">
        <v>52</v>
      </c>
      <c r="D3" s="11" t="s">
        <v>53</v>
      </c>
    </row>
    <row r="4" spans="2:4">
      <c r="B4" s="12" t="s">
        <v>54</v>
      </c>
      <c r="C4" s="13">
        <v>15</v>
      </c>
      <c r="D4" s="13">
        <v>139780</v>
      </c>
    </row>
    <row r="5" spans="2:4">
      <c r="B5" s="12" t="s">
        <v>55</v>
      </c>
      <c r="C5" s="13">
        <v>20</v>
      </c>
      <c r="D5" s="13">
        <v>291500</v>
      </c>
    </row>
    <row r="6" spans="2:4">
      <c r="B6" s="12" t="s">
        <v>56</v>
      </c>
      <c r="C6" s="13">
        <v>45</v>
      </c>
      <c r="D6" s="13">
        <v>325000</v>
      </c>
    </row>
    <row r="7" spans="2:4">
      <c r="B7" s="12" t="s">
        <v>57</v>
      </c>
      <c r="C7" s="13">
        <v>18</v>
      </c>
      <c r="D7" s="13">
        <v>178540</v>
      </c>
    </row>
    <row r="8" spans="2:4">
      <c r="B8" s="12" t="s">
        <v>58</v>
      </c>
      <c r="C8" s="13">
        <v>31</v>
      </c>
      <c r="D8" s="13">
        <v>213700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'기본작업-3'!판매현황_1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2023-10-09T07:05:08Z</dcterms:modified>
</cp:coreProperties>
</file>