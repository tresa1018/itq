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B2F0FA56-706E-481E-9E02-17250833EF0E}" xr6:coauthVersionLast="47" xr6:coauthVersionMax="47" xr10:uidLastSave="{00000000-0000-0000-0000-000000000000}"/>
  <bookViews>
    <workbookView xWindow="-108" yWindow="-108" windowWidth="23256" windowHeight="12576" tabRatio="858" activeTab="7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매크로작업" sheetId="6" r:id="rId7"/>
    <sheet name="차트작업" sheetId="7" r:id="rId8"/>
  </sheets>
  <definedNames>
    <definedName name="_xlnm._FilterDatabase" localSheetId="2" hidden="1">'기본작업-3'!$A$3:$H$18</definedName>
    <definedName name="_xlnm.Criteria" localSheetId="2">'기본작업-3'!$A$20:$B$22</definedName>
    <definedName name="_xlnm.Extract" localSheetId="2">'기본작업-3'!$A$25:$H$25</definedName>
  </definedNames>
  <calcPr calcId="191029"/>
  <pivotCaches>
    <pivotCache cacheId="1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4" i="6"/>
  <c r="E3" i="5"/>
  <c r="E8" i="7"/>
  <c r="E7" i="7"/>
  <c r="E6" i="7"/>
  <c r="E5" i="7"/>
  <c r="E4" i="7"/>
  <c r="B3" i="5" l="1"/>
</calcChain>
</file>

<file path=xl/sharedStrings.xml><?xml version="1.0" encoding="utf-8"?>
<sst xmlns="http://schemas.openxmlformats.org/spreadsheetml/2006/main" count="368" uniqueCount="253">
  <si>
    <t>상공홈쇼핑 5월 판매현황</t>
    <phoneticPr fontId="1" type="noConversion"/>
  </si>
  <si>
    <t>2분기</t>
  </si>
  <si>
    <t>3분기</t>
  </si>
  <si>
    <t>4분기</t>
  </si>
  <si>
    <t>사원</t>
  </si>
  <si>
    <t>사원명</t>
  </si>
  <si>
    <t>성별</t>
  </si>
  <si>
    <t>남</t>
  </si>
  <si>
    <t>여</t>
  </si>
  <si>
    <t>신입사원 채용결과</t>
  </si>
  <si>
    <t>[표2]</t>
  </si>
  <si>
    <t>이름</t>
  </si>
  <si>
    <t>회원명</t>
  </si>
  <si>
    <t>가입년도</t>
  </si>
  <si>
    <t>주민등록번호</t>
  </si>
  <si>
    <t>2018년</t>
  </si>
  <si>
    <t>2016년</t>
  </si>
  <si>
    <t>2019년</t>
  </si>
  <si>
    <t>2017년</t>
  </si>
  <si>
    <t>송주혜</t>
  </si>
  <si>
    <t>931214-2******</t>
  </si>
  <si>
    <t>[표3]</t>
  </si>
  <si>
    <t>수강자명</t>
  </si>
  <si>
    <t>1주차</t>
  </si>
  <si>
    <t>2주차</t>
  </si>
  <si>
    <t>3주차</t>
  </si>
  <si>
    <t>4주차</t>
  </si>
  <si>
    <t>O</t>
  </si>
  <si>
    <t>김선호</t>
  </si>
  <si>
    <t>[표5]</t>
  </si>
  <si>
    <t>기본급</t>
  </si>
  <si>
    <t>수당</t>
  </si>
  <si>
    <t>세금</t>
  </si>
  <si>
    <t>실수령액</t>
  </si>
  <si>
    <t>직원별 제품 판매 현황</t>
    <phoneticPr fontId="1" type="noConversion"/>
  </si>
  <si>
    <t>직원명</t>
    <phoneticPr fontId="1" type="noConversion"/>
  </si>
  <si>
    <t>직위</t>
    <phoneticPr fontId="1" type="noConversion"/>
  </si>
  <si>
    <t>분기</t>
    <phoneticPr fontId="1" type="noConversion"/>
  </si>
  <si>
    <t>합계</t>
    <phoneticPr fontId="1" type="noConversion"/>
  </si>
  <si>
    <t>판매총액</t>
    <phoneticPr fontId="1" type="noConversion"/>
  </si>
  <si>
    <t>1분기</t>
    <phoneticPr fontId="1" type="noConversion"/>
  </si>
  <si>
    <t>이유진</t>
    <phoneticPr fontId="1" type="noConversion"/>
  </si>
  <si>
    <t>부장</t>
    <phoneticPr fontId="1" type="noConversion"/>
  </si>
  <si>
    <t>김한나</t>
    <phoneticPr fontId="1" type="noConversion"/>
  </si>
  <si>
    <t>차장</t>
    <phoneticPr fontId="1" type="noConversion"/>
  </si>
  <si>
    <t>이도원</t>
    <phoneticPr fontId="1" type="noConversion"/>
  </si>
  <si>
    <t>민병욱</t>
    <phoneticPr fontId="1" type="noConversion"/>
  </si>
  <si>
    <t>과장</t>
    <phoneticPr fontId="1" type="noConversion"/>
  </si>
  <si>
    <t>최영록</t>
    <phoneticPr fontId="1" type="noConversion"/>
  </si>
  <si>
    <t>김민숙</t>
    <phoneticPr fontId="1" type="noConversion"/>
  </si>
  <si>
    <t>대리</t>
    <phoneticPr fontId="1" type="noConversion"/>
  </si>
  <si>
    <t>오안국</t>
    <phoneticPr fontId="1" type="noConversion"/>
  </si>
  <si>
    <t>성경용</t>
    <phoneticPr fontId="1" type="noConversion"/>
  </si>
  <si>
    <t>한철수</t>
    <phoneticPr fontId="1" type="noConversion"/>
  </si>
  <si>
    <t>강영미</t>
    <phoneticPr fontId="1" type="noConversion"/>
  </si>
  <si>
    <t>사원명</t>
    <phoneticPr fontId="1" type="noConversion"/>
  </si>
  <si>
    <t>부서명</t>
    <phoneticPr fontId="1" type="noConversion"/>
  </si>
  <si>
    <t>직급</t>
    <phoneticPr fontId="1" type="noConversion"/>
  </si>
  <si>
    <t>기본급</t>
    <phoneticPr fontId="1" type="noConversion"/>
  </si>
  <si>
    <t>식비&amp;교통비</t>
    <phoneticPr fontId="1" type="noConversion"/>
  </si>
  <si>
    <t>특별수당</t>
    <phoneticPr fontId="1" type="noConversion"/>
  </si>
  <si>
    <t>세금</t>
    <phoneticPr fontId="1" type="noConversion"/>
  </si>
  <si>
    <t>지급액</t>
    <phoneticPr fontId="1" type="noConversion"/>
  </si>
  <si>
    <t>강정호</t>
    <phoneticPr fontId="1" type="noConversion"/>
  </si>
  <si>
    <t>영업부</t>
    <phoneticPr fontId="1" type="noConversion"/>
  </si>
  <si>
    <t>김강인</t>
    <phoneticPr fontId="1" type="noConversion"/>
  </si>
  <si>
    <t>홍보부</t>
    <phoneticPr fontId="1" type="noConversion"/>
  </si>
  <si>
    <t>사원</t>
    <phoneticPr fontId="1" type="noConversion"/>
  </si>
  <si>
    <t>김민규</t>
    <phoneticPr fontId="1" type="noConversion"/>
  </si>
  <si>
    <t>영업부</t>
    <phoneticPr fontId="1" type="noConversion"/>
  </si>
  <si>
    <t>김안중</t>
    <phoneticPr fontId="1" type="noConversion"/>
  </si>
  <si>
    <t>대리</t>
    <phoneticPr fontId="1" type="noConversion"/>
  </si>
  <si>
    <t>김영자</t>
    <phoneticPr fontId="1" type="noConversion"/>
  </si>
  <si>
    <t>기획부</t>
    <phoneticPr fontId="1" type="noConversion"/>
  </si>
  <si>
    <t>서인숙</t>
    <phoneticPr fontId="1" type="noConversion"/>
  </si>
  <si>
    <t>홍보부</t>
    <phoneticPr fontId="1" type="noConversion"/>
  </si>
  <si>
    <t>사원</t>
    <phoneticPr fontId="1" type="noConversion"/>
  </si>
  <si>
    <t>손영희</t>
    <phoneticPr fontId="1" type="noConversion"/>
  </si>
  <si>
    <t>홍보부</t>
    <phoneticPr fontId="1" type="noConversion"/>
  </si>
  <si>
    <t>과장</t>
    <phoneticPr fontId="1" type="noConversion"/>
  </si>
  <si>
    <t>송지은</t>
    <phoneticPr fontId="1" type="noConversion"/>
  </si>
  <si>
    <t>부장</t>
    <phoneticPr fontId="1" type="noConversion"/>
  </si>
  <si>
    <t>안철수</t>
    <phoneticPr fontId="1" type="noConversion"/>
  </si>
  <si>
    <t>기획부</t>
    <phoneticPr fontId="1" type="noConversion"/>
  </si>
  <si>
    <t>이소라</t>
    <phoneticPr fontId="1" type="noConversion"/>
  </si>
  <si>
    <t>사원</t>
    <phoneticPr fontId="1" type="noConversion"/>
  </si>
  <si>
    <t>임지연</t>
    <phoneticPr fontId="1" type="noConversion"/>
  </si>
  <si>
    <t>정인혜</t>
    <phoneticPr fontId="1" type="noConversion"/>
  </si>
  <si>
    <t>정청수</t>
    <phoneticPr fontId="1" type="noConversion"/>
  </si>
  <si>
    <t>대리</t>
    <phoneticPr fontId="1" type="noConversion"/>
  </si>
  <si>
    <t>지승용</t>
    <phoneticPr fontId="1" type="noConversion"/>
  </si>
  <si>
    <t>한사영</t>
    <phoneticPr fontId="1" type="noConversion"/>
  </si>
  <si>
    <t>영업부</t>
    <phoneticPr fontId="1" type="noConversion"/>
  </si>
  <si>
    <t>회원 현황</t>
    <phoneticPr fontId="1" type="noConversion"/>
  </si>
  <si>
    <t>서류</t>
    <phoneticPr fontId="1" type="noConversion"/>
  </si>
  <si>
    <t>시험</t>
    <phoneticPr fontId="1" type="noConversion"/>
  </si>
  <si>
    <t>성별</t>
    <phoneticPr fontId="1" type="noConversion"/>
  </si>
  <si>
    <t>박영덕</t>
  </si>
  <si>
    <t>이민영</t>
  </si>
  <si>
    <t>990218-2******</t>
    <phoneticPr fontId="1" type="noConversion"/>
  </si>
  <si>
    <t>주민경</t>
  </si>
  <si>
    <t>도홍진</t>
  </si>
  <si>
    <t>010802-3******</t>
    <phoneticPr fontId="1" type="noConversion"/>
  </si>
  <si>
    <t>태진형</t>
  </si>
  <si>
    <t>박수진</t>
  </si>
  <si>
    <t>011115-4******</t>
    <phoneticPr fontId="1" type="noConversion"/>
  </si>
  <si>
    <t>최민수</t>
  </si>
  <si>
    <t>최만수</t>
  </si>
  <si>
    <t>980723-1******</t>
    <phoneticPr fontId="1" type="noConversion"/>
  </si>
  <si>
    <t>김평주</t>
  </si>
  <si>
    <t>조용덕</t>
  </si>
  <si>
    <t>991225-1******</t>
    <phoneticPr fontId="1" type="noConversion"/>
  </si>
  <si>
    <t>한서라</t>
  </si>
  <si>
    <t>김태훈</t>
  </si>
  <si>
    <t>이국선</t>
  </si>
  <si>
    <t>편승주</t>
  </si>
  <si>
    <t>민기영</t>
  </si>
  <si>
    <t>곽나래</t>
  </si>
  <si>
    <t>박소연</t>
  </si>
  <si>
    <t>이후정</t>
  </si>
  <si>
    <t>백천경</t>
  </si>
  <si>
    <t>민경배</t>
  </si>
  <si>
    <t>김태하</t>
  </si>
  <si>
    <t>이사랑</t>
  </si>
  <si>
    <t>곽난영</t>
  </si>
  <si>
    <t>장채리</t>
  </si>
  <si>
    <t>봉전미</t>
  </si>
  <si>
    <t>성명</t>
  </si>
  <si>
    <t>김미정</t>
  </si>
  <si>
    <t>서진수</t>
  </si>
  <si>
    <t>박주영</t>
  </si>
  <si>
    <t>원영현</t>
  </si>
  <si>
    <t>오선영</t>
  </si>
  <si>
    <t>최은미</t>
  </si>
  <si>
    <t>박진희</t>
  </si>
  <si>
    <t>급여명세서</t>
    <phoneticPr fontId="1" type="noConversion"/>
  </si>
  <si>
    <t>정기적금</t>
  </si>
  <si>
    <t>기간(년)</t>
    <phoneticPr fontId="1" type="noConversion"/>
  </si>
  <si>
    <t>TV</t>
    <phoneticPr fontId="1" type="noConversion"/>
  </si>
  <si>
    <t>팀명</t>
    <phoneticPr fontId="1" type="noConversion"/>
  </si>
  <si>
    <t>직책</t>
    <phoneticPr fontId="1" type="noConversion"/>
  </si>
  <si>
    <t>년차</t>
    <phoneticPr fontId="1" type="noConversion"/>
  </si>
  <si>
    <t>김대희</t>
    <phoneticPr fontId="1" type="noConversion"/>
  </si>
  <si>
    <t>인사팀</t>
    <phoneticPr fontId="1" type="noConversion"/>
  </si>
  <si>
    <t>팀장</t>
    <phoneticPr fontId="1" type="noConversion"/>
  </si>
  <si>
    <t>서여진</t>
    <phoneticPr fontId="1" type="noConversion"/>
  </si>
  <si>
    <t>인사팀</t>
    <phoneticPr fontId="1" type="noConversion"/>
  </si>
  <si>
    <t>책임</t>
    <phoneticPr fontId="1" type="noConversion"/>
  </si>
  <si>
    <t>최진호</t>
    <phoneticPr fontId="1" type="noConversion"/>
  </si>
  <si>
    <t>인사팀</t>
    <phoneticPr fontId="1" type="noConversion"/>
  </si>
  <si>
    <t>선임</t>
    <phoneticPr fontId="1" type="noConversion"/>
  </si>
  <si>
    <t>이주연</t>
    <phoneticPr fontId="1" type="noConversion"/>
  </si>
  <si>
    <t>주임</t>
    <phoneticPr fontId="1" type="noConversion"/>
  </si>
  <si>
    <t>마인석</t>
    <phoneticPr fontId="1" type="noConversion"/>
  </si>
  <si>
    <t>재무팀</t>
    <phoneticPr fontId="1" type="noConversion"/>
  </si>
  <si>
    <t>재무팀</t>
    <phoneticPr fontId="1" type="noConversion"/>
  </si>
  <si>
    <t>팀장</t>
    <phoneticPr fontId="1" type="noConversion"/>
  </si>
  <si>
    <t>안나은</t>
    <phoneticPr fontId="1" type="noConversion"/>
  </si>
  <si>
    <t>책임</t>
    <phoneticPr fontId="1" type="noConversion"/>
  </si>
  <si>
    <t>민준희</t>
    <phoneticPr fontId="1" type="noConversion"/>
  </si>
  <si>
    <t>한수나</t>
    <phoneticPr fontId="1" type="noConversion"/>
  </si>
  <si>
    <t>주임</t>
    <phoneticPr fontId="1" type="noConversion"/>
  </si>
  <si>
    <t>최미진</t>
    <phoneticPr fontId="1" type="noConversion"/>
  </si>
  <si>
    <t>홍보팀</t>
    <phoneticPr fontId="1" type="noConversion"/>
  </si>
  <si>
    <t>김서연</t>
    <phoneticPr fontId="1" type="noConversion"/>
  </si>
  <si>
    <t>정유리</t>
    <phoneticPr fontId="1" type="noConversion"/>
  </si>
  <si>
    <t>유이지</t>
    <phoneticPr fontId="1" type="noConversion"/>
  </si>
  <si>
    <t>적립목표금액</t>
    <phoneticPr fontId="1" type="noConversion"/>
  </si>
  <si>
    <t>월불입액</t>
    <phoneticPr fontId="1" type="noConversion"/>
  </si>
  <si>
    <t>이자율(년)</t>
    <phoneticPr fontId="1" type="noConversion"/>
  </si>
  <si>
    <t>목표기간(년)</t>
    <phoneticPr fontId="1" type="noConversion"/>
  </si>
  <si>
    <t>드라마 주간 시청률</t>
    <phoneticPr fontId="1" type="noConversion"/>
  </si>
  <si>
    <t>(단위 : %)</t>
    <phoneticPr fontId="1" type="noConversion"/>
  </si>
  <si>
    <t>프로그램명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</si>
  <si>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</si>
  <si>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</si>
  <si>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</si>
  <si>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</si>
  <si>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평균</t>
    <phoneticPr fontId="1" type="noConversion"/>
  </si>
  <si>
    <t>케이 광자매</t>
    <phoneticPr fontId="1" type="noConversion"/>
  </si>
  <si>
    <t>해가 뜨는 강</t>
    <phoneticPr fontId="1" type="noConversion"/>
  </si>
  <si>
    <t>팬텀하우스</t>
    <phoneticPr fontId="1" type="noConversion"/>
  </si>
  <si>
    <t>반찬이 되어라</t>
    <phoneticPr fontId="1" type="noConversion"/>
  </si>
  <si>
    <t>누가 뭐라도</t>
    <phoneticPr fontId="1" type="noConversion"/>
  </si>
  <si>
    <t>미스터 몬테</t>
    <phoneticPr fontId="1" type="noConversion"/>
  </si>
  <si>
    <t>물새 2020</t>
    <phoneticPr fontId="1" type="noConversion"/>
  </si>
  <si>
    <t>가전제품 판매 목표/실적 현황</t>
    <phoneticPr fontId="1" type="noConversion"/>
  </si>
  <si>
    <t>제품명</t>
    <phoneticPr fontId="1" type="noConversion"/>
  </si>
  <si>
    <t>판매목표</t>
    <phoneticPr fontId="1" type="noConversion"/>
  </si>
  <si>
    <t>판매실적</t>
    <phoneticPr fontId="1" type="noConversion"/>
  </si>
  <si>
    <t>판매단가</t>
    <phoneticPr fontId="1" type="noConversion"/>
  </si>
  <si>
    <t>판매달성률</t>
    <phoneticPr fontId="1" type="noConversion"/>
  </si>
  <si>
    <t>냉장고</t>
    <phoneticPr fontId="1" type="noConversion"/>
  </si>
  <si>
    <t>드럼세탁기</t>
    <phoneticPr fontId="1" type="noConversion"/>
  </si>
  <si>
    <t>공기청정기</t>
    <phoneticPr fontId="1" type="noConversion"/>
  </si>
  <si>
    <t>무선청소기</t>
    <phoneticPr fontId="1" type="noConversion"/>
  </si>
  <si>
    <t>상공주식회사 4월 급여명세표</t>
    <phoneticPr fontId="1" type="noConversion"/>
  </si>
  <si>
    <t>월불입액</t>
    <phoneticPr fontId="1" type="noConversion"/>
  </si>
  <si>
    <t>[표1]</t>
    <phoneticPr fontId="1" type="noConversion"/>
  </si>
  <si>
    <t>여</t>
    <phoneticPr fontId="1" type="noConversion"/>
  </si>
  <si>
    <t>021222-3******</t>
    <phoneticPr fontId="1" type="noConversion"/>
  </si>
  <si>
    <t>남</t>
    <phoneticPr fontId="1" type="noConversion"/>
  </si>
  <si>
    <t>비율</t>
    <phoneticPr fontId="1" type="noConversion"/>
  </si>
  <si>
    <t>010123-3******</t>
    <phoneticPr fontId="1" type="noConversion"/>
  </si>
  <si>
    <t>001015-4******</t>
    <phoneticPr fontId="1" type="noConversion"/>
  </si>
  <si>
    <t>출석현황</t>
    <phoneticPr fontId="1" type="noConversion"/>
  </si>
  <si>
    <t>[표4]</t>
    <phoneticPr fontId="1" type="noConversion"/>
  </si>
  <si>
    <t>하프 마라톤 대회</t>
    <phoneticPr fontId="1" type="noConversion"/>
  </si>
  <si>
    <t>비고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</si>
  <si>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</si>
  <si>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</si>
  <si>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</si>
  <si>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</si>
  <si>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조현우</t>
    <phoneticPr fontId="7" type="noConversion"/>
  </si>
  <si>
    <t>김혁진</t>
    <phoneticPr fontId="7" type="noConversion"/>
  </si>
  <si>
    <t>민준수</t>
    <phoneticPr fontId="7" type="noConversion"/>
  </si>
  <si>
    <t>성도경</t>
    <phoneticPr fontId="1" type="noConversion"/>
  </si>
  <si>
    <t>곽승호</t>
    <phoneticPr fontId="1" type="noConversion"/>
  </si>
  <si>
    <t>서현국</t>
    <phoneticPr fontId="7" type="noConversion"/>
  </si>
  <si>
    <t>이정현</t>
    <phoneticPr fontId="7" type="noConversion"/>
  </si>
  <si>
    <t>오은경</t>
    <phoneticPr fontId="1" type="noConversion"/>
  </si>
  <si>
    <t>ITQ 응시현황</t>
    <phoneticPr fontId="1" type="noConversion"/>
  </si>
  <si>
    <t>수험번호</t>
    <phoneticPr fontId="1" type="noConversion"/>
  </si>
  <si>
    <t>응시과목</t>
    <phoneticPr fontId="1" type="noConversion"/>
  </si>
  <si>
    <t>시험시작</t>
    <phoneticPr fontId="1" type="noConversion"/>
  </si>
  <si>
    <t>시험종료</t>
    <phoneticPr fontId="1" type="noConversion"/>
  </si>
  <si>
    <t>891056TT</t>
    <phoneticPr fontId="1" type="noConversion"/>
  </si>
  <si>
    <t>한글</t>
    <phoneticPr fontId="1" type="noConversion"/>
  </si>
  <si>
    <t>109823DD</t>
    <phoneticPr fontId="1" type="noConversion"/>
  </si>
  <si>
    <t>엑셀</t>
    <phoneticPr fontId="1" type="noConversion"/>
  </si>
  <si>
    <t>872619TT</t>
    <phoneticPr fontId="1" type="noConversion"/>
  </si>
  <si>
    <t>파워포인트</t>
    <phoneticPr fontId="1" type="noConversion"/>
  </si>
  <si>
    <t>861830TT</t>
    <phoneticPr fontId="1" type="noConversion"/>
  </si>
  <si>
    <t>인터넷</t>
    <phoneticPr fontId="1" type="noConversion"/>
  </si>
  <si>
    <t>782761DD</t>
    <phoneticPr fontId="1" type="noConversion"/>
  </si>
  <si>
    <t>액세스</t>
    <phoneticPr fontId="1" type="noConversion"/>
  </si>
  <si>
    <t>982711DD</t>
    <phoneticPr fontId="1" type="noConversion"/>
  </si>
  <si>
    <t>865123TT</t>
    <phoneticPr fontId="1" type="noConversion"/>
  </si>
  <si>
    <t>812350DD</t>
    <phoneticPr fontId="1" type="noConversion"/>
  </si>
  <si>
    <t>행 레이블</t>
  </si>
  <si>
    <t>선임</t>
  </si>
  <si>
    <t>주임</t>
  </si>
  <si>
    <t>책임</t>
  </si>
  <si>
    <t>팀장</t>
  </si>
  <si>
    <t>총합계</t>
  </si>
  <si>
    <t>열 레이블</t>
  </si>
  <si>
    <t>인사팀</t>
  </si>
  <si>
    <t>재무팀</t>
  </si>
  <si>
    <t>평균 : 실수령액</t>
  </si>
  <si>
    <t>직급</t>
    <phoneticPr fontId="1" type="noConversion"/>
  </si>
  <si>
    <t>과장</t>
    <phoneticPr fontId="1" type="noConversion"/>
  </si>
  <si>
    <t>지급액</t>
    <phoneticPr fontId="1" type="noConversion"/>
  </si>
  <si>
    <t>&lt;3500000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</si>
</sst>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&quot;년&quot;"/>
    <numFmt numFmtId="178" formatCode="0.0"/>
    <numFmt numFmtId="179" formatCode="h:mm;@"/>
    <numFmt numFmtId="180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3F3F76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3" borderId="2" applyNumberFormat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6" fontId="0" fillId="0" borderId="1" xfId="2" applyNumberFormat="1" applyFont="1" applyBorder="1">
      <alignment vertical="center"/>
    </xf>
    <xf numFmtId="9" fontId="0" fillId="0" borderId="1" xfId="3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20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3" borderId="2" xfId="4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</cellXfs>
  <cellStyles count="5">
    <cellStyle name="백분율" xfId="3" builtinId="5"/>
    <cellStyle name="쉼표 [0]" xfId="1" builtinId="6"/>
    <cellStyle name="입력" xfId="4" builtinId="20"/>
    <cellStyle name="통화 [0]" xfId="2" builtinId="7"/>
    <cellStyle name="표준" xfId="0" builtinId="0"/>
  </cellStyles>
  <dxfs count="2">
    <dxf>
      <numFmt numFmtId="180" formatCode="#,##0_ "/>
    </dxf>
    <dxf>
      <numFmt numFmtId="180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가전제품 판매 목표/실적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판매목표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1050</c:v>
                </c:pt>
                <c:pt idx="1">
                  <c:v>1150</c:v>
                </c:pt>
                <c:pt idx="2">
                  <c:v>1250</c:v>
                </c:pt>
                <c:pt idx="3">
                  <c:v>950</c:v>
                </c:pt>
                <c:pt idx="4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E-47D8-802E-5540312BAC7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판매실적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A6-4EFE-AB43-B473C8DC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995</c:v>
                </c:pt>
                <c:pt idx="1">
                  <c:v>1209</c:v>
                </c:pt>
                <c:pt idx="2">
                  <c:v>1342</c:v>
                </c:pt>
                <c:pt idx="3">
                  <c:v>982</c:v>
                </c:pt>
                <c:pt idx="4">
                  <c:v>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E-47D8-802E-5540312BA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731024"/>
        <c:axId val="791332896"/>
      </c:lineChart>
      <c:catAx>
        <c:axId val="58073102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1332896"/>
        <c:crosses val="autoZero"/>
        <c:auto val="1"/>
        <c:lblAlgn val="ctr"/>
        <c:lblOffset val="100"/>
        <c:noMultiLvlLbl val="0"/>
      </c:catAx>
      <c:valAx>
        <c:axId val="79133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0731024"/>
        <c:crosses val="autoZero"/>
        <c:crossBetween val="between"/>
      </c:valAx>
      <c:spPr>
        <a:gradFill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0</xdr:rowOff>
        </xdr:from>
        <xdr:to>
          <xdr:col>3</xdr:col>
          <xdr:colOff>7620</xdr:colOff>
          <xdr:row>13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655320</xdr:colOff>
      <xdr:row>10</xdr:row>
      <xdr:rowOff>213360</xdr:rowOff>
    </xdr:from>
    <xdr:to>
      <xdr:col>5</xdr:col>
      <xdr:colOff>655320</xdr:colOff>
      <xdr:row>12</xdr:row>
      <xdr:rowOff>213360</xdr:rowOff>
    </xdr:to>
    <xdr:sp macro="[0]!셀스타일" textlink="">
      <xdr:nvSpPr>
        <xdr:cNvPr id="2" name="화살표: 오각형 1">
          <a:extLst>
            <a:ext uri="{FF2B5EF4-FFF2-40B4-BE49-F238E27FC236}">
              <a16:creationId xmlns:a16="http://schemas.microsoft.com/office/drawing/2014/main" id="{0AA9073F-BD72-B3DB-54D1-43D96939831B}"/>
            </a:ext>
          </a:extLst>
        </xdr:cNvPr>
        <xdr:cNvSpPr/>
      </xdr:nvSpPr>
      <xdr:spPr>
        <a:xfrm>
          <a:off x="2941320" y="2468880"/>
          <a:ext cx="1341120" cy="44196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223156</xdr:rowOff>
    </xdr:from>
    <xdr:to>
      <xdr:col>6</xdr:col>
      <xdr:colOff>696685</xdr:colOff>
      <xdr:row>25</xdr:row>
      <xdr:rowOff>223156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5489.89482199074" createdVersion="8" refreshedVersion="8" minRefreshableVersion="3" recordCount="12" xr:uid="{A1581D8B-855D-465C-B225-312318948148}">
  <cacheSource type="worksheet">
    <worksheetSource ref="A3:H15" sheet="분석작업-1"/>
  </cacheSource>
  <cacheFields count="8">
    <cacheField name="사원명" numFmtId="0">
      <sharedItems/>
    </cacheField>
    <cacheField name="팀명" numFmtId="0">
      <sharedItems count="3">
        <s v="인사팀"/>
        <s v="재무팀"/>
        <s v="홍보팀"/>
      </sharedItems>
    </cacheField>
    <cacheField name="직책" numFmtId="0">
      <sharedItems count="4">
        <s v="팀장"/>
        <s v="책임"/>
        <s v="선임"/>
        <s v="주임"/>
      </sharedItems>
    </cacheField>
    <cacheField name="년차" numFmtId="0">
      <sharedItems containsSemiMixedTypes="0" containsString="0" containsNumber="1" containsInteger="1" minValue="1" maxValue="15"/>
    </cacheField>
    <cacheField name="기본급" numFmtId="41">
      <sharedItems containsSemiMixedTypes="0" containsString="0" containsNumber="1" containsInteger="1" minValue="2400000" maxValue="4500000"/>
    </cacheField>
    <cacheField name="수당" numFmtId="41">
      <sharedItems containsSemiMixedTypes="0" containsString="0" containsNumber="1" containsInteger="1" minValue="810000" maxValue="1700000"/>
    </cacheField>
    <cacheField name="세금" numFmtId="41">
      <sharedItems containsSemiMixedTypes="0" containsString="0" containsNumber="1" containsInteger="1" minValue="550000" maxValue="1300000"/>
    </cacheField>
    <cacheField name="실수령액" numFmtId="41">
      <sharedItems containsSemiMixedTypes="0" containsString="0" containsNumber="1" containsInteger="1" minValue="2670000" maxValue="49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김대희"/>
    <x v="0"/>
    <x v="0"/>
    <n v="15"/>
    <n v="4500000"/>
    <n v="1700000"/>
    <n v="1300000"/>
    <n v="4900000"/>
  </r>
  <r>
    <s v="서여진"/>
    <x v="0"/>
    <x v="1"/>
    <n v="9"/>
    <n v="3900000"/>
    <n v="1500000"/>
    <n v="1100000"/>
    <n v="4300000"/>
  </r>
  <r>
    <s v="최진호"/>
    <x v="0"/>
    <x v="2"/>
    <n v="5"/>
    <n v="3300000"/>
    <n v="950000"/>
    <n v="950000"/>
    <n v="3300000"/>
  </r>
  <r>
    <s v="이주연"/>
    <x v="0"/>
    <x v="3"/>
    <n v="2"/>
    <n v="2600000"/>
    <n v="850000"/>
    <n v="650000"/>
    <n v="2800000"/>
  </r>
  <r>
    <s v="마인석"/>
    <x v="1"/>
    <x v="0"/>
    <n v="12"/>
    <n v="4200000"/>
    <n v="1300000"/>
    <n v="1100000"/>
    <n v="4400000"/>
  </r>
  <r>
    <s v="안나은"/>
    <x v="1"/>
    <x v="1"/>
    <n v="8"/>
    <n v="3600000"/>
    <n v="1400000"/>
    <n v="1000000"/>
    <n v="4000000"/>
  </r>
  <r>
    <s v="민준희"/>
    <x v="1"/>
    <x v="2"/>
    <n v="3"/>
    <n v="3100000"/>
    <n v="850000"/>
    <n v="850000"/>
    <n v="3100000"/>
  </r>
  <r>
    <s v="한수나"/>
    <x v="1"/>
    <x v="3"/>
    <n v="1"/>
    <n v="2400000"/>
    <n v="820000"/>
    <n v="550000"/>
    <n v="2670000"/>
  </r>
  <r>
    <s v="최미진"/>
    <x v="2"/>
    <x v="0"/>
    <n v="10"/>
    <n v="4000000"/>
    <n v="1500000"/>
    <n v="1100000"/>
    <n v="4400000"/>
  </r>
  <r>
    <s v="김서연"/>
    <x v="2"/>
    <x v="1"/>
    <n v="7"/>
    <n v="3500000"/>
    <n v="1350000"/>
    <n v="1020000"/>
    <n v="3830000"/>
  </r>
  <r>
    <s v="정유리"/>
    <x v="2"/>
    <x v="2"/>
    <n v="4"/>
    <n v="3200000"/>
    <n v="900000"/>
    <n v="930000"/>
    <n v="3170000"/>
  </r>
  <r>
    <s v="유이지"/>
    <x v="2"/>
    <x v="3"/>
    <n v="2"/>
    <n v="2600000"/>
    <n v="810000"/>
    <n v="600000"/>
    <n v="281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712360-C353-48B5-905E-4805BB2D6CE1}" name="피벗 테이블2" cacheId="12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outline="1" outlineData="1" multipleFieldFilters="0">
  <location ref="A20:D25" firstHeaderRow="1" firstDataRow="2" firstDataCol="1"/>
  <pivotFields count="8">
    <pivotField showAll="0"/>
    <pivotField axis="axisCol" showAll="0">
      <items count="4">
        <item x="0"/>
        <item x="1"/>
        <item h="1" x="2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numFmtId="41" showAll="0"/>
    <pivotField numFmtId="41" showAll="0"/>
    <pivotField numFmtId="41" showAll="0"/>
    <pivotField dataField="1" numFmtId="41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1"/>
  </colFields>
  <colItems count="3">
    <i>
      <x/>
    </i>
    <i>
      <x v="1"/>
    </i>
    <i t="grand">
      <x/>
    </i>
  </colItems>
  <dataFields count="1">
    <dataField name="평균 : 실수령액" fld="7" subtotal="average" baseField="2" baseItem="0" numFmtId="18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7.399999999999999" x14ac:dyDescent="0.4"/>
  <cols>
    <col min="3" max="3" width="10.5" bestFit="1" customWidth="1"/>
  </cols>
  <sheetData>
    <row r="1" spans="1:1" x14ac:dyDescent="0.4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"/>
  <sheetViews>
    <sheetView workbookViewId="0"/>
  </sheetViews>
  <sheetFormatPr defaultRowHeight="17.399999999999999" x14ac:dyDescent="0.4"/>
  <sheetData>
    <row r="1" spans="1:8" x14ac:dyDescent="0.4">
      <c r="A1" t="s">
        <v>34</v>
      </c>
    </row>
    <row r="3" spans="1:8" x14ac:dyDescent="0.4">
      <c r="A3" t="s">
        <v>35</v>
      </c>
      <c r="B3" t="s">
        <v>36</v>
      </c>
      <c r="C3" t="s">
        <v>37</v>
      </c>
      <c r="G3" t="s">
        <v>38</v>
      </c>
      <c r="H3" t="s">
        <v>39</v>
      </c>
    </row>
    <row r="4" spans="1:8" x14ac:dyDescent="0.4">
      <c r="C4" s="1" t="s">
        <v>40</v>
      </c>
      <c r="D4" s="1" t="s">
        <v>1</v>
      </c>
      <c r="E4" s="1" t="s">
        <v>2</v>
      </c>
      <c r="F4" s="1" t="s">
        <v>3</v>
      </c>
    </row>
    <row r="5" spans="1:8" x14ac:dyDescent="0.4">
      <c r="A5" s="1" t="s">
        <v>41</v>
      </c>
      <c r="B5" s="1" t="s">
        <v>42</v>
      </c>
      <c r="C5">
        <v>216</v>
      </c>
      <c r="D5">
        <v>177</v>
      </c>
      <c r="E5">
        <v>292</v>
      </c>
      <c r="F5">
        <v>250</v>
      </c>
      <c r="G5">
        <v>935</v>
      </c>
      <c r="H5">
        <v>3833500</v>
      </c>
    </row>
    <row r="6" spans="1:8" x14ac:dyDescent="0.4">
      <c r="A6" s="1" t="s">
        <v>43</v>
      </c>
      <c r="B6" s="1" t="s">
        <v>44</v>
      </c>
      <c r="C6">
        <v>166</v>
      </c>
      <c r="D6">
        <v>214</v>
      </c>
      <c r="E6">
        <v>228</v>
      </c>
      <c r="F6">
        <v>224</v>
      </c>
      <c r="G6">
        <v>832</v>
      </c>
      <c r="H6">
        <v>3411200</v>
      </c>
    </row>
    <row r="7" spans="1:8" x14ac:dyDescent="0.4">
      <c r="A7" s="1" t="s">
        <v>45</v>
      </c>
      <c r="B7" s="1" t="s">
        <v>44</v>
      </c>
      <c r="C7">
        <v>254</v>
      </c>
      <c r="D7">
        <v>300</v>
      </c>
      <c r="E7">
        <v>227</v>
      </c>
      <c r="F7">
        <v>272</v>
      </c>
      <c r="G7">
        <v>1053</v>
      </c>
      <c r="H7">
        <v>4317300</v>
      </c>
    </row>
    <row r="8" spans="1:8" x14ac:dyDescent="0.4">
      <c r="A8" s="1" t="s">
        <v>46</v>
      </c>
      <c r="B8" s="1" t="s">
        <v>47</v>
      </c>
      <c r="C8">
        <v>221</v>
      </c>
      <c r="D8">
        <v>241</v>
      </c>
      <c r="E8">
        <v>214</v>
      </c>
      <c r="F8">
        <v>174</v>
      </c>
      <c r="G8">
        <v>850</v>
      </c>
      <c r="H8">
        <v>3485000</v>
      </c>
    </row>
    <row r="9" spans="1:8" x14ac:dyDescent="0.4">
      <c r="A9" s="1" t="s">
        <v>48</v>
      </c>
      <c r="B9" s="1" t="s">
        <v>47</v>
      </c>
      <c r="C9">
        <v>204</v>
      </c>
      <c r="D9">
        <v>210</v>
      </c>
      <c r="E9">
        <v>234</v>
      </c>
      <c r="F9">
        <v>230</v>
      </c>
      <c r="G9">
        <v>878</v>
      </c>
      <c r="H9">
        <v>3599800</v>
      </c>
    </row>
    <row r="10" spans="1:8" x14ac:dyDescent="0.4">
      <c r="A10" s="1" t="s">
        <v>49</v>
      </c>
      <c r="B10" s="1" t="s">
        <v>50</v>
      </c>
      <c r="C10">
        <v>159</v>
      </c>
      <c r="D10">
        <v>141</v>
      </c>
      <c r="E10">
        <v>168</v>
      </c>
      <c r="F10">
        <v>138</v>
      </c>
      <c r="G10">
        <v>606</v>
      </c>
      <c r="H10">
        <v>2484600</v>
      </c>
    </row>
    <row r="11" spans="1:8" x14ac:dyDescent="0.4">
      <c r="A11" s="1" t="s">
        <v>51</v>
      </c>
      <c r="B11" s="1" t="s">
        <v>50</v>
      </c>
      <c r="C11">
        <v>260</v>
      </c>
      <c r="D11">
        <v>280</v>
      </c>
      <c r="E11">
        <v>288</v>
      </c>
      <c r="F11">
        <v>237</v>
      </c>
      <c r="G11">
        <v>1065</v>
      </c>
      <c r="H11">
        <v>4366500</v>
      </c>
    </row>
    <row r="12" spans="1:8" x14ac:dyDescent="0.4">
      <c r="A12" s="1" t="s">
        <v>52</v>
      </c>
      <c r="B12" s="1" t="s">
        <v>4</v>
      </c>
      <c r="C12">
        <v>168</v>
      </c>
      <c r="D12">
        <v>187</v>
      </c>
      <c r="E12">
        <v>195</v>
      </c>
      <c r="F12">
        <v>212</v>
      </c>
      <c r="G12">
        <v>762</v>
      </c>
      <c r="H12">
        <v>3124200</v>
      </c>
    </row>
    <row r="13" spans="1:8" x14ac:dyDescent="0.4">
      <c r="A13" s="1" t="s">
        <v>53</v>
      </c>
      <c r="B13" s="1" t="s">
        <v>4</v>
      </c>
      <c r="C13">
        <v>217</v>
      </c>
      <c r="D13">
        <v>214</v>
      </c>
      <c r="E13">
        <v>238</v>
      </c>
      <c r="F13">
        <v>212</v>
      </c>
      <c r="G13">
        <v>881</v>
      </c>
      <c r="H13">
        <v>3612100</v>
      </c>
    </row>
    <row r="14" spans="1:8" x14ac:dyDescent="0.4">
      <c r="A14" s="1" t="s">
        <v>54</v>
      </c>
      <c r="B14" s="1" t="s">
        <v>4</v>
      </c>
      <c r="C14">
        <v>141</v>
      </c>
      <c r="D14">
        <v>159</v>
      </c>
      <c r="E14">
        <v>148</v>
      </c>
      <c r="F14">
        <v>154</v>
      </c>
      <c r="G14">
        <v>602</v>
      </c>
      <c r="H14">
        <v>2468200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36"/>
  <sheetViews>
    <sheetView topLeftCell="A15" workbookViewId="0">
      <selection activeCell="L14" sqref="L14"/>
    </sheetView>
  </sheetViews>
  <sheetFormatPr defaultRowHeight="17.399999999999999" x14ac:dyDescent="0.4"/>
  <cols>
    <col min="4" max="4" width="10.59765625" bestFit="1" customWidth="1"/>
    <col min="5" max="5" width="12.09765625" bestFit="1" customWidth="1"/>
    <col min="6" max="8" width="10.59765625" bestFit="1" customWidth="1"/>
  </cols>
  <sheetData>
    <row r="1" spans="1:8" ht="21" x14ac:dyDescent="0.4">
      <c r="A1" s="19" t="s">
        <v>196</v>
      </c>
      <c r="B1" s="19"/>
      <c r="C1" s="19"/>
      <c r="D1" s="19"/>
      <c r="E1" s="19"/>
      <c r="F1" s="19"/>
      <c r="G1" s="19"/>
      <c r="H1" s="19"/>
    </row>
    <row r="3" spans="1:8" x14ac:dyDescent="0.4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  <c r="G3" s="2" t="s">
        <v>61</v>
      </c>
      <c r="H3" s="2" t="s">
        <v>62</v>
      </c>
    </row>
    <row r="4" spans="1:8" x14ac:dyDescent="0.4">
      <c r="A4" s="2" t="s">
        <v>63</v>
      </c>
      <c r="B4" s="2" t="s">
        <v>64</v>
      </c>
      <c r="C4" s="2" t="s">
        <v>47</v>
      </c>
      <c r="D4" s="3">
        <v>3500000</v>
      </c>
      <c r="E4" s="3">
        <v>500000</v>
      </c>
      <c r="F4" s="3">
        <v>880000</v>
      </c>
      <c r="G4" s="3">
        <v>586000</v>
      </c>
      <c r="H4" s="3">
        <v>4294000</v>
      </c>
    </row>
    <row r="5" spans="1:8" x14ac:dyDescent="0.4">
      <c r="A5" s="2" t="s">
        <v>65</v>
      </c>
      <c r="B5" s="2" t="s">
        <v>66</v>
      </c>
      <c r="C5" s="2" t="s">
        <v>67</v>
      </c>
      <c r="D5" s="3">
        <v>2150000</v>
      </c>
      <c r="E5" s="3">
        <v>500000</v>
      </c>
      <c r="F5" s="3">
        <v>540000</v>
      </c>
      <c r="G5" s="3">
        <v>383000</v>
      </c>
      <c r="H5" s="3">
        <v>2807000</v>
      </c>
    </row>
    <row r="6" spans="1:8" x14ac:dyDescent="0.4">
      <c r="A6" s="2" t="s">
        <v>68</v>
      </c>
      <c r="B6" s="2" t="s">
        <v>69</v>
      </c>
      <c r="C6" s="2" t="s">
        <v>67</v>
      </c>
      <c r="D6" s="3">
        <v>2200000</v>
      </c>
      <c r="E6" s="3">
        <v>500000</v>
      </c>
      <c r="F6" s="3">
        <v>550000</v>
      </c>
      <c r="G6" s="3">
        <v>390000</v>
      </c>
      <c r="H6" s="3">
        <v>2860000</v>
      </c>
    </row>
    <row r="7" spans="1:8" x14ac:dyDescent="0.4">
      <c r="A7" s="2" t="s">
        <v>70</v>
      </c>
      <c r="B7" s="2" t="s">
        <v>66</v>
      </c>
      <c r="C7" s="2" t="s">
        <v>71</v>
      </c>
      <c r="D7" s="3">
        <v>2700000</v>
      </c>
      <c r="E7" s="3">
        <v>500000</v>
      </c>
      <c r="F7" s="3">
        <v>680000</v>
      </c>
      <c r="G7" s="3">
        <v>466000</v>
      </c>
      <c r="H7" s="3">
        <v>3414000</v>
      </c>
    </row>
    <row r="8" spans="1:8" x14ac:dyDescent="0.4">
      <c r="A8" s="2" t="s">
        <v>72</v>
      </c>
      <c r="B8" s="2" t="s">
        <v>73</v>
      </c>
      <c r="C8" s="2" t="s">
        <v>50</v>
      </c>
      <c r="D8" s="3">
        <v>2750000</v>
      </c>
      <c r="E8" s="3">
        <v>500000</v>
      </c>
      <c r="F8" s="3">
        <v>690000</v>
      </c>
      <c r="G8" s="3">
        <v>473000</v>
      </c>
      <c r="H8" s="3">
        <v>3467000</v>
      </c>
    </row>
    <row r="9" spans="1:8" x14ac:dyDescent="0.4">
      <c r="A9" s="2" t="s">
        <v>74</v>
      </c>
      <c r="B9" s="2" t="s">
        <v>75</v>
      </c>
      <c r="C9" s="2" t="s">
        <v>76</v>
      </c>
      <c r="D9" s="3">
        <v>2100000</v>
      </c>
      <c r="E9" s="3">
        <v>500000</v>
      </c>
      <c r="F9" s="3">
        <v>530000</v>
      </c>
      <c r="G9" s="3">
        <v>376000</v>
      </c>
      <c r="H9" s="3">
        <v>2754000</v>
      </c>
    </row>
    <row r="10" spans="1:8" x14ac:dyDescent="0.4">
      <c r="A10" s="2" t="s">
        <v>77</v>
      </c>
      <c r="B10" s="2" t="s">
        <v>78</v>
      </c>
      <c r="C10" s="2" t="s">
        <v>79</v>
      </c>
      <c r="D10" s="3">
        <v>3250000</v>
      </c>
      <c r="E10" s="3">
        <v>500000</v>
      </c>
      <c r="F10" s="3">
        <v>810000</v>
      </c>
      <c r="G10" s="3">
        <v>547000</v>
      </c>
      <c r="H10" s="3">
        <v>4013000</v>
      </c>
    </row>
    <row r="11" spans="1:8" x14ac:dyDescent="0.4">
      <c r="A11" s="2" t="s">
        <v>80</v>
      </c>
      <c r="B11" s="2" t="s">
        <v>66</v>
      </c>
      <c r="C11" s="2" t="s">
        <v>81</v>
      </c>
      <c r="D11" s="3">
        <v>3900000</v>
      </c>
      <c r="E11" s="3">
        <v>500000</v>
      </c>
      <c r="F11" s="3">
        <v>980000</v>
      </c>
      <c r="G11" s="3">
        <v>646000</v>
      </c>
      <c r="H11" s="3">
        <v>4734000</v>
      </c>
    </row>
    <row r="12" spans="1:8" x14ac:dyDescent="0.4">
      <c r="A12" s="2" t="s">
        <v>82</v>
      </c>
      <c r="B12" s="2" t="s">
        <v>83</v>
      </c>
      <c r="C12" s="2" t="s">
        <v>79</v>
      </c>
      <c r="D12" s="3">
        <v>3300000</v>
      </c>
      <c r="E12" s="3">
        <v>500000</v>
      </c>
      <c r="F12" s="3">
        <v>830000</v>
      </c>
      <c r="G12" s="3">
        <v>556000</v>
      </c>
      <c r="H12" s="3">
        <v>4074000</v>
      </c>
    </row>
    <row r="13" spans="1:8" x14ac:dyDescent="0.4">
      <c r="A13" s="2" t="s">
        <v>84</v>
      </c>
      <c r="B13" s="2" t="s">
        <v>64</v>
      </c>
      <c r="C13" s="2" t="s">
        <v>85</v>
      </c>
      <c r="D13" s="3">
        <v>2150000</v>
      </c>
      <c r="E13" s="3">
        <v>500000</v>
      </c>
      <c r="F13" s="3">
        <v>540000</v>
      </c>
      <c r="G13" s="3">
        <v>383000</v>
      </c>
      <c r="H13" s="3">
        <v>2807000</v>
      </c>
    </row>
    <row r="14" spans="1:8" x14ac:dyDescent="0.4">
      <c r="A14" s="2" t="s">
        <v>86</v>
      </c>
      <c r="B14" s="2" t="s">
        <v>69</v>
      </c>
      <c r="C14" s="2" t="s">
        <v>71</v>
      </c>
      <c r="D14" s="3">
        <v>2800000</v>
      </c>
      <c r="E14" s="3">
        <v>500000</v>
      </c>
      <c r="F14" s="3">
        <v>700000</v>
      </c>
      <c r="G14" s="3">
        <v>480000</v>
      </c>
      <c r="H14" s="3">
        <v>3520000</v>
      </c>
    </row>
    <row r="15" spans="1:8" x14ac:dyDescent="0.4">
      <c r="A15" s="2" t="s">
        <v>87</v>
      </c>
      <c r="B15" s="2" t="s">
        <v>73</v>
      </c>
      <c r="C15" s="2" t="s">
        <v>76</v>
      </c>
      <c r="D15" s="3">
        <v>2000000</v>
      </c>
      <c r="E15" s="3">
        <v>500000</v>
      </c>
      <c r="F15" s="3">
        <v>500000</v>
      </c>
      <c r="G15" s="3">
        <v>360000</v>
      </c>
      <c r="H15" s="3">
        <v>2640000</v>
      </c>
    </row>
    <row r="16" spans="1:8" x14ac:dyDescent="0.4">
      <c r="A16" s="2" t="s">
        <v>88</v>
      </c>
      <c r="B16" s="2" t="s">
        <v>64</v>
      </c>
      <c r="C16" s="2" t="s">
        <v>89</v>
      </c>
      <c r="D16" s="3">
        <v>2600000</v>
      </c>
      <c r="E16" s="3">
        <v>500000</v>
      </c>
      <c r="F16" s="3">
        <v>650000</v>
      </c>
      <c r="G16" s="3">
        <v>450000</v>
      </c>
      <c r="H16" s="3">
        <v>3300000</v>
      </c>
    </row>
    <row r="17" spans="1:8" x14ac:dyDescent="0.4">
      <c r="A17" s="2" t="s">
        <v>90</v>
      </c>
      <c r="B17" s="2" t="s">
        <v>73</v>
      </c>
      <c r="C17" s="2" t="s">
        <v>81</v>
      </c>
      <c r="D17" s="3">
        <v>4000000</v>
      </c>
      <c r="E17" s="3">
        <v>500000</v>
      </c>
      <c r="F17" s="3">
        <v>1000000</v>
      </c>
      <c r="G17" s="3">
        <v>660000</v>
      </c>
      <c r="H17" s="3">
        <v>4840000</v>
      </c>
    </row>
    <row r="18" spans="1:8" x14ac:dyDescent="0.4">
      <c r="A18" s="2" t="s">
        <v>91</v>
      </c>
      <c r="B18" s="2" t="s">
        <v>92</v>
      </c>
      <c r="C18" s="2" t="s">
        <v>42</v>
      </c>
      <c r="D18" s="3">
        <v>3650000</v>
      </c>
      <c r="E18" s="3">
        <v>500000</v>
      </c>
      <c r="F18" s="3">
        <v>910000</v>
      </c>
      <c r="G18" s="3">
        <v>607000</v>
      </c>
      <c r="H18" s="3">
        <v>4453000</v>
      </c>
    </row>
    <row r="20" spans="1:8" x14ac:dyDescent="0.4">
      <c r="A20" s="25" t="s">
        <v>249</v>
      </c>
      <c r="B20" s="25" t="s">
        <v>251</v>
      </c>
    </row>
    <row r="21" spans="1:8" x14ac:dyDescent="0.4">
      <c r="A21" s="26" t="s">
        <v>250</v>
      </c>
    </row>
    <row r="22" spans="1:8" x14ac:dyDescent="0.4">
      <c r="B22" s="24" t="s">
        <v>252</v>
      </c>
    </row>
    <row r="25" spans="1:8" x14ac:dyDescent="0.4">
      <c r="A25" s="2" t="s">
        <v>55</v>
      </c>
      <c r="B25" s="2" t="s">
        <v>56</v>
      </c>
      <c r="C25" s="2" t="s">
        <v>57</v>
      </c>
      <c r="D25" s="2" t="s">
        <v>58</v>
      </c>
      <c r="E25" s="2" t="s">
        <v>59</v>
      </c>
      <c r="F25" s="2" t="s">
        <v>60</v>
      </c>
      <c r="G25" s="2" t="s">
        <v>61</v>
      </c>
      <c r="H25" s="2" t="s">
        <v>62</v>
      </c>
    </row>
    <row r="26" spans="1:8" x14ac:dyDescent="0.4">
      <c r="A26" s="2" t="s">
        <v>63</v>
      </c>
      <c r="B26" s="2" t="s">
        <v>64</v>
      </c>
      <c r="C26" s="2" t="s">
        <v>47</v>
      </c>
      <c r="D26" s="3">
        <v>3500000</v>
      </c>
      <c r="E26" s="3">
        <v>500000</v>
      </c>
      <c r="F26" s="3">
        <v>880000</v>
      </c>
      <c r="G26" s="3">
        <v>586000</v>
      </c>
      <c r="H26" s="3">
        <v>4294000</v>
      </c>
    </row>
    <row r="27" spans="1:8" x14ac:dyDescent="0.4">
      <c r="A27" s="2" t="s">
        <v>65</v>
      </c>
      <c r="B27" s="2" t="s">
        <v>66</v>
      </c>
      <c r="C27" s="2" t="s">
        <v>67</v>
      </c>
      <c r="D27" s="3">
        <v>2150000</v>
      </c>
      <c r="E27" s="3">
        <v>500000</v>
      </c>
      <c r="F27" s="3">
        <v>540000</v>
      </c>
      <c r="G27" s="3">
        <v>383000</v>
      </c>
      <c r="H27" s="3">
        <v>2807000</v>
      </c>
    </row>
    <row r="28" spans="1:8" x14ac:dyDescent="0.4">
      <c r="A28" s="2" t="s">
        <v>68</v>
      </c>
      <c r="B28" s="2" t="s">
        <v>64</v>
      </c>
      <c r="C28" s="2" t="s">
        <v>67</v>
      </c>
      <c r="D28" s="3">
        <v>2200000</v>
      </c>
      <c r="E28" s="3">
        <v>500000</v>
      </c>
      <c r="F28" s="3">
        <v>550000</v>
      </c>
      <c r="G28" s="3">
        <v>390000</v>
      </c>
      <c r="H28" s="3">
        <v>2860000</v>
      </c>
    </row>
    <row r="29" spans="1:8" x14ac:dyDescent="0.4">
      <c r="A29" s="2" t="s">
        <v>70</v>
      </c>
      <c r="B29" s="2" t="s">
        <v>66</v>
      </c>
      <c r="C29" s="2" t="s">
        <v>50</v>
      </c>
      <c r="D29" s="3">
        <v>2700000</v>
      </c>
      <c r="E29" s="3">
        <v>500000</v>
      </c>
      <c r="F29" s="3">
        <v>680000</v>
      </c>
      <c r="G29" s="3">
        <v>466000</v>
      </c>
      <c r="H29" s="3">
        <v>3414000</v>
      </c>
    </row>
    <row r="30" spans="1:8" x14ac:dyDescent="0.4">
      <c r="A30" s="2" t="s">
        <v>72</v>
      </c>
      <c r="B30" s="2" t="s">
        <v>73</v>
      </c>
      <c r="C30" s="2" t="s">
        <v>50</v>
      </c>
      <c r="D30" s="3">
        <v>2750000</v>
      </c>
      <c r="E30" s="3">
        <v>500000</v>
      </c>
      <c r="F30" s="3">
        <v>690000</v>
      </c>
      <c r="G30" s="3">
        <v>473000</v>
      </c>
      <c r="H30" s="3">
        <v>3467000</v>
      </c>
    </row>
    <row r="31" spans="1:8" x14ac:dyDescent="0.4">
      <c r="A31" s="2" t="s">
        <v>74</v>
      </c>
      <c r="B31" s="2" t="s">
        <v>66</v>
      </c>
      <c r="C31" s="2" t="s">
        <v>67</v>
      </c>
      <c r="D31" s="3">
        <v>2100000</v>
      </c>
      <c r="E31" s="3">
        <v>500000</v>
      </c>
      <c r="F31" s="3">
        <v>530000</v>
      </c>
      <c r="G31" s="3">
        <v>376000</v>
      </c>
      <c r="H31" s="3">
        <v>2754000</v>
      </c>
    </row>
    <row r="32" spans="1:8" x14ac:dyDescent="0.4">
      <c r="A32" s="2" t="s">
        <v>77</v>
      </c>
      <c r="B32" s="2" t="s">
        <v>66</v>
      </c>
      <c r="C32" s="2" t="s">
        <v>47</v>
      </c>
      <c r="D32" s="3">
        <v>3250000</v>
      </c>
      <c r="E32" s="3">
        <v>500000</v>
      </c>
      <c r="F32" s="3">
        <v>810000</v>
      </c>
      <c r="G32" s="3">
        <v>547000</v>
      </c>
      <c r="H32" s="3">
        <v>4013000</v>
      </c>
    </row>
    <row r="33" spans="1:8" x14ac:dyDescent="0.4">
      <c r="A33" s="2" t="s">
        <v>82</v>
      </c>
      <c r="B33" s="2" t="s">
        <v>73</v>
      </c>
      <c r="C33" s="2" t="s">
        <v>47</v>
      </c>
      <c r="D33" s="3">
        <v>3300000</v>
      </c>
      <c r="E33" s="3">
        <v>500000</v>
      </c>
      <c r="F33" s="3">
        <v>830000</v>
      </c>
      <c r="G33" s="3">
        <v>556000</v>
      </c>
      <c r="H33" s="3">
        <v>4074000</v>
      </c>
    </row>
    <row r="34" spans="1:8" x14ac:dyDescent="0.4">
      <c r="A34" s="2" t="s">
        <v>84</v>
      </c>
      <c r="B34" s="2" t="s">
        <v>64</v>
      </c>
      <c r="C34" s="2" t="s">
        <v>67</v>
      </c>
      <c r="D34" s="3">
        <v>2150000</v>
      </c>
      <c r="E34" s="3">
        <v>500000</v>
      </c>
      <c r="F34" s="3">
        <v>540000</v>
      </c>
      <c r="G34" s="3">
        <v>383000</v>
      </c>
      <c r="H34" s="3">
        <v>2807000</v>
      </c>
    </row>
    <row r="35" spans="1:8" x14ac:dyDescent="0.4">
      <c r="A35" s="2" t="s">
        <v>87</v>
      </c>
      <c r="B35" s="2" t="s">
        <v>73</v>
      </c>
      <c r="C35" s="2" t="s">
        <v>67</v>
      </c>
      <c r="D35" s="3">
        <v>2000000</v>
      </c>
      <c r="E35" s="3">
        <v>500000</v>
      </c>
      <c r="F35" s="3">
        <v>500000</v>
      </c>
      <c r="G35" s="3">
        <v>360000</v>
      </c>
      <c r="H35" s="3">
        <v>2640000</v>
      </c>
    </row>
    <row r="36" spans="1:8" x14ac:dyDescent="0.4">
      <c r="A36" s="2" t="s">
        <v>88</v>
      </c>
      <c r="B36" s="2" t="s">
        <v>64</v>
      </c>
      <c r="C36" s="2" t="s">
        <v>50</v>
      </c>
      <c r="D36" s="3">
        <v>2600000</v>
      </c>
      <c r="E36" s="3">
        <v>500000</v>
      </c>
      <c r="F36" s="3">
        <v>650000</v>
      </c>
      <c r="G36" s="3">
        <v>450000</v>
      </c>
      <c r="H36" s="3">
        <v>3300000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4"/>
  <sheetViews>
    <sheetView workbookViewId="0"/>
  </sheetViews>
  <sheetFormatPr defaultRowHeight="17.399999999999999" x14ac:dyDescent="0.4"/>
  <cols>
    <col min="1" max="1" width="11.59765625" customWidth="1"/>
    <col min="4" max="5" width="10.59765625" customWidth="1"/>
    <col min="7" max="7" width="8.19921875" customWidth="1"/>
    <col min="9" max="9" width="10.8984375" customWidth="1"/>
    <col min="10" max="11" width="13.59765625" bestFit="1" customWidth="1"/>
  </cols>
  <sheetData>
    <row r="1" spans="1:11" x14ac:dyDescent="0.4">
      <c r="A1" s="4" t="s">
        <v>198</v>
      </c>
      <c r="B1" s="5" t="s">
        <v>9</v>
      </c>
      <c r="H1" s="4" t="s">
        <v>10</v>
      </c>
      <c r="I1" s="5" t="s">
        <v>93</v>
      </c>
    </row>
    <row r="2" spans="1:11" x14ac:dyDescent="0.4">
      <c r="A2" s="2" t="s">
        <v>11</v>
      </c>
      <c r="B2" s="2" t="s">
        <v>6</v>
      </c>
      <c r="C2" s="2" t="s">
        <v>94</v>
      </c>
      <c r="D2" s="2" t="s">
        <v>95</v>
      </c>
      <c r="H2" s="2" t="s">
        <v>12</v>
      </c>
      <c r="I2" s="2" t="s">
        <v>13</v>
      </c>
      <c r="J2" s="2" t="s">
        <v>14</v>
      </c>
      <c r="K2" s="14" t="s">
        <v>96</v>
      </c>
    </row>
    <row r="3" spans="1:11" x14ac:dyDescent="0.4">
      <c r="A3" s="2" t="s">
        <v>97</v>
      </c>
      <c r="B3" s="2" t="s">
        <v>7</v>
      </c>
      <c r="C3" s="2">
        <v>86</v>
      </c>
      <c r="D3" s="2">
        <v>70</v>
      </c>
      <c r="H3" s="2" t="s">
        <v>98</v>
      </c>
      <c r="I3" s="2" t="s">
        <v>15</v>
      </c>
      <c r="J3" s="2" t="s">
        <v>99</v>
      </c>
      <c r="K3" s="2"/>
    </row>
    <row r="4" spans="1:11" x14ac:dyDescent="0.4">
      <c r="A4" s="2" t="s">
        <v>100</v>
      </c>
      <c r="B4" s="2" t="s">
        <v>8</v>
      </c>
      <c r="C4" s="2">
        <v>94</v>
      </c>
      <c r="D4" s="2">
        <v>90</v>
      </c>
      <c r="H4" s="2" t="s">
        <v>101</v>
      </c>
      <c r="I4" s="2" t="s">
        <v>16</v>
      </c>
      <c r="J4" s="2" t="s">
        <v>102</v>
      </c>
      <c r="K4" s="2"/>
    </row>
    <row r="5" spans="1:11" x14ac:dyDescent="0.4">
      <c r="A5" s="2" t="s">
        <v>103</v>
      </c>
      <c r="B5" s="2" t="s">
        <v>7</v>
      </c>
      <c r="C5" s="2">
        <v>91</v>
      </c>
      <c r="D5" s="2">
        <v>86</v>
      </c>
      <c r="H5" s="2" t="s">
        <v>104</v>
      </c>
      <c r="I5" s="2" t="s">
        <v>17</v>
      </c>
      <c r="J5" s="2" t="s">
        <v>105</v>
      </c>
      <c r="K5" s="2"/>
    </row>
    <row r="6" spans="1:11" x14ac:dyDescent="0.4">
      <c r="A6" s="2" t="s">
        <v>106</v>
      </c>
      <c r="B6" s="2" t="s">
        <v>7</v>
      </c>
      <c r="C6" s="2">
        <v>76</v>
      </c>
      <c r="D6" s="2">
        <v>75</v>
      </c>
      <c r="H6" s="2" t="s">
        <v>107</v>
      </c>
      <c r="I6" s="2" t="s">
        <v>15</v>
      </c>
      <c r="J6" s="2" t="s">
        <v>108</v>
      </c>
      <c r="K6" s="2"/>
    </row>
    <row r="7" spans="1:11" x14ac:dyDescent="0.4">
      <c r="A7" s="2" t="s">
        <v>109</v>
      </c>
      <c r="B7" s="2" t="s">
        <v>8</v>
      </c>
      <c r="C7" s="2">
        <v>68</v>
      </c>
      <c r="D7" s="2">
        <v>73</v>
      </c>
      <c r="H7" s="2" t="s">
        <v>110</v>
      </c>
      <c r="I7" s="2" t="s">
        <v>18</v>
      </c>
      <c r="J7" s="2" t="s">
        <v>111</v>
      </c>
      <c r="K7" s="2"/>
    </row>
    <row r="8" spans="1:11" x14ac:dyDescent="0.4">
      <c r="A8" s="2" t="s">
        <v>112</v>
      </c>
      <c r="B8" s="2" t="s">
        <v>199</v>
      </c>
      <c r="C8" s="2">
        <v>97</v>
      </c>
      <c r="D8" s="2">
        <v>99</v>
      </c>
      <c r="H8" s="2" t="s">
        <v>113</v>
      </c>
      <c r="I8" s="2" t="s">
        <v>16</v>
      </c>
      <c r="J8" s="2" t="s">
        <v>200</v>
      </c>
      <c r="K8" s="2"/>
    </row>
    <row r="9" spans="1:11" x14ac:dyDescent="0.4">
      <c r="A9" s="2" t="s">
        <v>114</v>
      </c>
      <c r="B9" s="2" t="s">
        <v>201</v>
      </c>
      <c r="C9" s="2">
        <v>58</v>
      </c>
      <c r="D9" s="2">
        <v>54</v>
      </c>
      <c r="E9" s="2" t="s">
        <v>96</v>
      </c>
      <c r="F9" s="14" t="s">
        <v>202</v>
      </c>
      <c r="H9" s="2" t="s">
        <v>115</v>
      </c>
      <c r="I9" s="2" t="s">
        <v>15</v>
      </c>
      <c r="J9" s="2" t="s">
        <v>203</v>
      </c>
      <c r="K9" s="2"/>
    </row>
    <row r="10" spans="1:11" x14ac:dyDescent="0.4">
      <c r="A10" s="2" t="s">
        <v>116</v>
      </c>
      <c r="B10" s="2" t="s">
        <v>201</v>
      </c>
      <c r="C10" s="2">
        <v>92</v>
      </c>
      <c r="D10" s="2">
        <v>82</v>
      </c>
      <c r="E10" s="2" t="s">
        <v>7</v>
      </c>
      <c r="F10" s="9"/>
      <c r="H10" s="2" t="s">
        <v>117</v>
      </c>
      <c r="I10" s="2" t="s">
        <v>17</v>
      </c>
      <c r="J10" s="2" t="s">
        <v>204</v>
      </c>
      <c r="K10" s="2"/>
    </row>
    <row r="11" spans="1:11" x14ac:dyDescent="0.4">
      <c r="A11" s="2" t="s">
        <v>118</v>
      </c>
      <c r="B11" s="2" t="s">
        <v>8</v>
      </c>
      <c r="C11" s="2">
        <v>93</v>
      </c>
      <c r="D11" s="2">
        <v>87</v>
      </c>
      <c r="E11" s="2" t="s">
        <v>8</v>
      </c>
      <c r="F11" s="9"/>
      <c r="H11" s="2" t="s">
        <v>19</v>
      </c>
      <c r="I11" s="2" t="s">
        <v>18</v>
      </c>
      <c r="J11" s="2" t="s">
        <v>20</v>
      </c>
      <c r="K11" s="2"/>
    </row>
    <row r="13" spans="1:11" x14ac:dyDescent="0.4">
      <c r="A13" s="4" t="s">
        <v>21</v>
      </c>
      <c r="B13" s="5" t="s">
        <v>205</v>
      </c>
      <c r="H13" s="4" t="s">
        <v>206</v>
      </c>
      <c r="I13" s="5" t="s">
        <v>207</v>
      </c>
    </row>
    <row r="14" spans="1:11" x14ac:dyDescent="0.4">
      <c r="A14" s="2" t="s">
        <v>22</v>
      </c>
      <c r="B14" s="2" t="s">
        <v>23</v>
      </c>
      <c r="C14" s="2" t="s">
        <v>24</v>
      </c>
      <c r="D14" s="2" t="s">
        <v>25</v>
      </c>
      <c r="E14" s="2" t="s">
        <v>26</v>
      </c>
      <c r="F14" s="14" t="s">
        <v>208</v>
      </c>
      <c r="H14" s="2" t="s">
        <v>209</v>
      </c>
      <c r="I14" s="2" t="s">
        <v>210</v>
      </c>
      <c r="J14" s="2" t="s">
        <v>211</v>
      </c>
      <c r="K14" s="14" t="s">
        <v>212</v>
      </c>
    </row>
    <row r="15" spans="1:11" x14ac:dyDescent="0.4">
      <c r="A15" s="2" t="s">
        <v>119</v>
      </c>
      <c r="B15" s="2" t="s">
        <v>27</v>
      </c>
      <c r="C15" s="2" t="s">
        <v>27</v>
      </c>
      <c r="D15" s="2" t="s">
        <v>27</v>
      </c>
      <c r="E15" s="2" t="s">
        <v>27</v>
      </c>
      <c r="F15" s="2"/>
      <c r="H15" s="2">
        <v>5001</v>
      </c>
      <c r="I15" s="16" t="s">
        <v>213</v>
      </c>
      <c r="J15" s="15">
        <v>6.6122685185185187E-2</v>
      </c>
      <c r="K15" s="2"/>
    </row>
    <row r="16" spans="1:11" x14ac:dyDescent="0.4">
      <c r="A16" s="2" t="s">
        <v>120</v>
      </c>
      <c r="B16" s="2"/>
      <c r="C16" s="2" t="s">
        <v>27</v>
      </c>
      <c r="D16" s="2" t="s">
        <v>27</v>
      </c>
      <c r="E16" s="2" t="s">
        <v>27</v>
      </c>
      <c r="F16" s="2"/>
      <c r="H16" s="2">
        <v>5002</v>
      </c>
      <c r="I16" s="16" t="s">
        <v>214</v>
      </c>
      <c r="J16" s="15">
        <v>5.9803240740740747E-2</v>
      </c>
      <c r="K16" s="2"/>
    </row>
    <row r="17" spans="1:11" x14ac:dyDescent="0.4">
      <c r="A17" s="2" t="s">
        <v>121</v>
      </c>
      <c r="B17" s="2" t="s">
        <v>27</v>
      </c>
      <c r="C17" s="2" t="s">
        <v>27</v>
      </c>
      <c r="D17" s="2" t="s">
        <v>27</v>
      </c>
      <c r="E17" s="2" t="s">
        <v>27</v>
      </c>
      <c r="F17" s="2"/>
      <c r="H17" s="2">
        <v>5003</v>
      </c>
      <c r="I17" s="16" t="s">
        <v>215</v>
      </c>
      <c r="J17" s="15">
        <v>6.9722222222222227E-2</v>
      </c>
      <c r="K17" s="2"/>
    </row>
    <row r="18" spans="1:11" x14ac:dyDescent="0.4">
      <c r="A18" s="2" t="s">
        <v>122</v>
      </c>
      <c r="B18" s="2" t="s">
        <v>27</v>
      </c>
      <c r="C18" s="2"/>
      <c r="D18" s="2" t="s">
        <v>27</v>
      </c>
      <c r="E18" s="2" t="s">
        <v>27</v>
      </c>
      <c r="F18" s="2"/>
      <c r="H18" s="2">
        <v>5004</v>
      </c>
      <c r="I18" s="16" t="s">
        <v>216</v>
      </c>
      <c r="J18" s="15"/>
      <c r="K18" s="2"/>
    </row>
    <row r="19" spans="1:11" x14ac:dyDescent="0.4">
      <c r="A19" s="2" t="s">
        <v>123</v>
      </c>
      <c r="B19" s="2" t="s">
        <v>27</v>
      </c>
      <c r="C19" s="2" t="s">
        <v>27</v>
      </c>
      <c r="D19" s="2"/>
      <c r="E19" s="2" t="s">
        <v>27</v>
      </c>
      <c r="F19" s="2"/>
      <c r="H19" s="2">
        <v>5005</v>
      </c>
      <c r="I19" s="16" t="s">
        <v>217</v>
      </c>
      <c r="J19" s="15">
        <v>6.010416666666666E-2</v>
      </c>
      <c r="K19" s="2"/>
    </row>
    <row r="20" spans="1:11" x14ac:dyDescent="0.4">
      <c r="A20" s="2" t="s">
        <v>124</v>
      </c>
      <c r="B20" s="2"/>
      <c r="C20" s="2"/>
      <c r="D20" s="2"/>
      <c r="E20" s="2" t="s">
        <v>27</v>
      </c>
      <c r="F20" s="2"/>
      <c r="H20" s="2">
        <v>5006</v>
      </c>
      <c r="I20" s="16" t="s">
        <v>218</v>
      </c>
      <c r="J20" s="15">
        <v>6.2430555555555552E-2</v>
      </c>
      <c r="K20" s="2"/>
    </row>
    <row r="21" spans="1:11" x14ac:dyDescent="0.4">
      <c r="A21" s="2" t="s">
        <v>125</v>
      </c>
      <c r="B21" s="2" t="s">
        <v>27</v>
      </c>
      <c r="C21" s="2" t="s">
        <v>27</v>
      </c>
      <c r="D21" s="2" t="s">
        <v>27</v>
      </c>
      <c r="E21" s="2" t="s">
        <v>27</v>
      </c>
      <c r="F21" s="2"/>
      <c r="H21" s="2">
        <v>5007</v>
      </c>
      <c r="I21" s="16" t="s">
        <v>219</v>
      </c>
      <c r="J21" s="15">
        <v>6.1469907407407404E-2</v>
      </c>
      <c r="K21" s="2"/>
    </row>
    <row r="22" spans="1:11" x14ac:dyDescent="0.4">
      <c r="A22" s="2" t="s">
        <v>126</v>
      </c>
      <c r="B22" s="2" t="s">
        <v>27</v>
      </c>
      <c r="C22" s="2"/>
      <c r="D22" s="2" t="s">
        <v>27</v>
      </c>
      <c r="E22" s="2"/>
      <c r="F22" s="2"/>
    </row>
    <row r="23" spans="1:11" x14ac:dyDescent="0.4">
      <c r="A23" s="2" t="s">
        <v>28</v>
      </c>
      <c r="B23" s="2" t="s">
        <v>27</v>
      </c>
      <c r="C23" s="2" t="s">
        <v>27</v>
      </c>
      <c r="D23" s="2" t="s">
        <v>27</v>
      </c>
      <c r="E23" s="2" t="s">
        <v>27</v>
      </c>
      <c r="F23" s="2"/>
    </row>
    <row r="25" spans="1:11" x14ac:dyDescent="0.4">
      <c r="A25" s="4" t="s">
        <v>29</v>
      </c>
      <c r="B25" s="5" t="s">
        <v>221</v>
      </c>
    </row>
    <row r="26" spans="1:11" x14ac:dyDescent="0.4">
      <c r="A26" s="2" t="s">
        <v>222</v>
      </c>
      <c r="B26" s="2" t="s">
        <v>127</v>
      </c>
      <c r="C26" s="2" t="s">
        <v>223</v>
      </c>
      <c r="D26" s="2" t="s">
        <v>224</v>
      </c>
      <c r="E26" s="14" t="s">
        <v>225</v>
      </c>
    </row>
    <row r="27" spans="1:11" x14ac:dyDescent="0.4">
      <c r="A27" s="2" t="s">
        <v>226</v>
      </c>
      <c r="B27" s="2" t="s">
        <v>128</v>
      </c>
      <c r="C27" s="2" t="s">
        <v>227</v>
      </c>
      <c r="D27" s="17">
        <v>0.375</v>
      </c>
      <c r="E27" s="18"/>
    </row>
    <row r="28" spans="1:11" x14ac:dyDescent="0.4">
      <c r="A28" s="2" t="s">
        <v>228</v>
      </c>
      <c r="B28" s="2" t="s">
        <v>129</v>
      </c>
      <c r="C28" s="2" t="s">
        <v>229</v>
      </c>
      <c r="D28" s="17">
        <v>0.4375</v>
      </c>
      <c r="E28" s="18"/>
    </row>
    <row r="29" spans="1:11" x14ac:dyDescent="0.4">
      <c r="A29" s="2" t="s">
        <v>230</v>
      </c>
      <c r="B29" s="2" t="s">
        <v>130</v>
      </c>
      <c r="C29" s="2" t="s">
        <v>231</v>
      </c>
      <c r="D29" s="17">
        <v>0.5</v>
      </c>
      <c r="E29" s="18"/>
    </row>
    <row r="30" spans="1:11" x14ac:dyDescent="0.4">
      <c r="A30" s="2" t="s">
        <v>232</v>
      </c>
      <c r="B30" s="2" t="s">
        <v>131</v>
      </c>
      <c r="C30" s="2" t="s">
        <v>233</v>
      </c>
      <c r="D30" s="17">
        <v>0.5</v>
      </c>
      <c r="E30" s="18"/>
    </row>
    <row r="31" spans="1:11" x14ac:dyDescent="0.4">
      <c r="A31" s="2" t="s">
        <v>234</v>
      </c>
      <c r="B31" s="2" t="s">
        <v>132</v>
      </c>
      <c r="C31" s="2" t="s">
        <v>235</v>
      </c>
      <c r="D31" s="17">
        <v>0.4375</v>
      </c>
      <c r="E31" s="18"/>
    </row>
    <row r="32" spans="1:11" x14ac:dyDescent="0.4">
      <c r="A32" s="2" t="s">
        <v>236</v>
      </c>
      <c r="B32" s="2" t="s">
        <v>133</v>
      </c>
      <c r="C32" s="2" t="s">
        <v>227</v>
      </c>
      <c r="D32" s="17">
        <v>0.375</v>
      </c>
      <c r="E32" s="18"/>
    </row>
    <row r="33" spans="1:5" x14ac:dyDescent="0.4">
      <c r="A33" s="2" t="s">
        <v>237</v>
      </c>
      <c r="B33" s="2" t="s">
        <v>134</v>
      </c>
      <c r="C33" s="2" t="s">
        <v>229</v>
      </c>
      <c r="D33" s="17">
        <v>0.5</v>
      </c>
      <c r="E33" s="18"/>
    </row>
    <row r="34" spans="1:5" x14ac:dyDescent="0.4">
      <c r="A34" s="2" t="s">
        <v>238</v>
      </c>
      <c r="B34" s="2" t="s">
        <v>220</v>
      </c>
      <c r="C34" s="2" t="s">
        <v>233</v>
      </c>
      <c r="D34" s="17">
        <v>0.4375</v>
      </c>
      <c r="E34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topLeftCell="A10" workbookViewId="0">
      <selection activeCell="H27" sqref="H27"/>
    </sheetView>
  </sheetViews>
  <sheetFormatPr defaultRowHeight="17.399999999999999" x14ac:dyDescent="0.4"/>
  <cols>
    <col min="1" max="1" width="14.19921875" bestFit="1" customWidth="1"/>
    <col min="2" max="2" width="11.19921875" bestFit="1" customWidth="1"/>
    <col min="3" max="4" width="9.796875" bestFit="1" customWidth="1"/>
    <col min="5" max="5" width="12.69921875" bestFit="1" customWidth="1"/>
    <col min="6" max="8" width="10.59765625" bestFit="1" customWidth="1"/>
  </cols>
  <sheetData>
    <row r="1" spans="1:8" ht="21" x14ac:dyDescent="0.4">
      <c r="A1" s="19" t="s">
        <v>135</v>
      </c>
      <c r="B1" s="19"/>
      <c r="C1" s="19"/>
      <c r="D1" s="19"/>
      <c r="E1" s="19"/>
      <c r="F1" s="19"/>
      <c r="G1" s="19"/>
      <c r="H1" s="19"/>
    </row>
    <row r="3" spans="1:8" x14ac:dyDescent="0.4">
      <c r="A3" s="2" t="s">
        <v>5</v>
      </c>
      <c r="B3" s="2" t="s">
        <v>139</v>
      </c>
      <c r="C3" s="2" t="s">
        <v>140</v>
      </c>
      <c r="D3" s="2" t="s">
        <v>141</v>
      </c>
      <c r="E3" s="2" t="s">
        <v>30</v>
      </c>
      <c r="F3" s="2" t="s">
        <v>31</v>
      </c>
      <c r="G3" s="2" t="s">
        <v>32</v>
      </c>
      <c r="H3" s="2" t="s">
        <v>33</v>
      </c>
    </row>
    <row r="4" spans="1:8" x14ac:dyDescent="0.4">
      <c r="A4" s="2" t="s">
        <v>142</v>
      </c>
      <c r="B4" s="2" t="s">
        <v>143</v>
      </c>
      <c r="C4" s="2" t="s">
        <v>144</v>
      </c>
      <c r="D4" s="2">
        <v>15</v>
      </c>
      <c r="E4" s="3">
        <v>4500000</v>
      </c>
      <c r="F4" s="3">
        <v>1700000</v>
      </c>
      <c r="G4" s="3">
        <v>1300000</v>
      </c>
      <c r="H4" s="3">
        <v>4900000</v>
      </c>
    </row>
    <row r="5" spans="1:8" x14ac:dyDescent="0.4">
      <c r="A5" s="2" t="s">
        <v>145</v>
      </c>
      <c r="B5" s="2" t="s">
        <v>146</v>
      </c>
      <c r="C5" s="2" t="s">
        <v>147</v>
      </c>
      <c r="D5" s="2">
        <v>9</v>
      </c>
      <c r="E5" s="3">
        <v>3900000</v>
      </c>
      <c r="F5" s="3">
        <v>1500000</v>
      </c>
      <c r="G5" s="3">
        <v>1100000</v>
      </c>
      <c r="H5" s="3">
        <v>4300000</v>
      </c>
    </row>
    <row r="6" spans="1:8" x14ac:dyDescent="0.4">
      <c r="A6" s="2" t="s">
        <v>148</v>
      </c>
      <c r="B6" s="2" t="s">
        <v>149</v>
      </c>
      <c r="C6" s="2" t="s">
        <v>150</v>
      </c>
      <c r="D6" s="2">
        <v>5</v>
      </c>
      <c r="E6" s="3">
        <v>3300000</v>
      </c>
      <c r="F6" s="3">
        <v>950000</v>
      </c>
      <c r="G6" s="3">
        <v>950000</v>
      </c>
      <c r="H6" s="3">
        <v>3300000</v>
      </c>
    </row>
    <row r="7" spans="1:8" x14ac:dyDescent="0.4">
      <c r="A7" s="2" t="s">
        <v>151</v>
      </c>
      <c r="B7" s="2" t="s">
        <v>146</v>
      </c>
      <c r="C7" s="2" t="s">
        <v>152</v>
      </c>
      <c r="D7" s="2">
        <v>2</v>
      </c>
      <c r="E7" s="3">
        <v>2600000</v>
      </c>
      <c r="F7" s="3">
        <v>850000</v>
      </c>
      <c r="G7" s="3">
        <v>650000</v>
      </c>
      <c r="H7" s="3">
        <v>2800000</v>
      </c>
    </row>
    <row r="8" spans="1:8" x14ac:dyDescent="0.4">
      <c r="A8" s="2" t="s">
        <v>153</v>
      </c>
      <c r="B8" s="2" t="s">
        <v>155</v>
      </c>
      <c r="C8" s="2" t="s">
        <v>156</v>
      </c>
      <c r="D8" s="2">
        <v>12</v>
      </c>
      <c r="E8" s="3">
        <v>4200000</v>
      </c>
      <c r="F8" s="3">
        <v>1300000</v>
      </c>
      <c r="G8" s="3">
        <v>1100000</v>
      </c>
      <c r="H8" s="3">
        <v>4400000</v>
      </c>
    </row>
    <row r="9" spans="1:8" x14ac:dyDescent="0.4">
      <c r="A9" s="2" t="s">
        <v>157</v>
      </c>
      <c r="B9" s="2" t="s">
        <v>155</v>
      </c>
      <c r="C9" s="2" t="s">
        <v>158</v>
      </c>
      <c r="D9" s="2">
        <v>8</v>
      </c>
      <c r="E9" s="3">
        <v>3600000</v>
      </c>
      <c r="F9" s="3">
        <v>1400000</v>
      </c>
      <c r="G9" s="3">
        <v>1000000</v>
      </c>
      <c r="H9" s="3">
        <v>4000000</v>
      </c>
    </row>
    <row r="10" spans="1:8" x14ac:dyDescent="0.4">
      <c r="A10" s="2" t="s">
        <v>159</v>
      </c>
      <c r="B10" s="2" t="s">
        <v>154</v>
      </c>
      <c r="C10" s="2" t="s">
        <v>150</v>
      </c>
      <c r="D10" s="2">
        <v>3</v>
      </c>
      <c r="E10" s="3">
        <v>3100000</v>
      </c>
      <c r="F10" s="3">
        <v>850000</v>
      </c>
      <c r="G10" s="3">
        <v>850000</v>
      </c>
      <c r="H10" s="3">
        <v>3100000</v>
      </c>
    </row>
    <row r="11" spans="1:8" x14ac:dyDescent="0.4">
      <c r="A11" s="2" t="s">
        <v>160</v>
      </c>
      <c r="B11" s="2" t="s">
        <v>155</v>
      </c>
      <c r="C11" s="2" t="s">
        <v>161</v>
      </c>
      <c r="D11" s="2">
        <v>1</v>
      </c>
      <c r="E11" s="3">
        <v>2400000</v>
      </c>
      <c r="F11" s="3">
        <v>820000</v>
      </c>
      <c r="G11" s="3">
        <v>550000</v>
      </c>
      <c r="H11" s="3">
        <v>2670000</v>
      </c>
    </row>
    <row r="12" spans="1:8" x14ac:dyDescent="0.4">
      <c r="A12" s="2" t="s">
        <v>162</v>
      </c>
      <c r="B12" s="2" t="s">
        <v>163</v>
      </c>
      <c r="C12" s="2" t="s">
        <v>144</v>
      </c>
      <c r="D12" s="2">
        <v>10</v>
      </c>
      <c r="E12" s="3">
        <v>4000000</v>
      </c>
      <c r="F12" s="3">
        <v>1500000</v>
      </c>
      <c r="G12" s="3">
        <v>1100000</v>
      </c>
      <c r="H12" s="3">
        <v>4400000</v>
      </c>
    </row>
    <row r="13" spans="1:8" x14ac:dyDescent="0.4">
      <c r="A13" s="2" t="s">
        <v>164</v>
      </c>
      <c r="B13" s="2" t="s">
        <v>163</v>
      </c>
      <c r="C13" s="2" t="s">
        <v>147</v>
      </c>
      <c r="D13" s="2">
        <v>7</v>
      </c>
      <c r="E13" s="3">
        <v>3500000</v>
      </c>
      <c r="F13" s="3">
        <v>1350000</v>
      </c>
      <c r="G13" s="3">
        <v>1020000</v>
      </c>
      <c r="H13" s="3">
        <v>3830000</v>
      </c>
    </row>
    <row r="14" spans="1:8" x14ac:dyDescent="0.4">
      <c r="A14" s="2" t="s">
        <v>165</v>
      </c>
      <c r="B14" s="2" t="s">
        <v>163</v>
      </c>
      <c r="C14" s="2" t="s">
        <v>150</v>
      </c>
      <c r="D14" s="2">
        <v>4</v>
      </c>
      <c r="E14" s="3">
        <v>3200000</v>
      </c>
      <c r="F14" s="3">
        <v>900000</v>
      </c>
      <c r="G14" s="3">
        <v>930000</v>
      </c>
      <c r="H14" s="3">
        <v>3170000</v>
      </c>
    </row>
    <row r="15" spans="1:8" x14ac:dyDescent="0.4">
      <c r="A15" s="2" t="s">
        <v>166</v>
      </c>
      <c r="B15" s="2" t="s">
        <v>163</v>
      </c>
      <c r="C15" s="2" t="s">
        <v>161</v>
      </c>
      <c r="D15" s="2">
        <v>2</v>
      </c>
      <c r="E15" s="3">
        <v>2600000</v>
      </c>
      <c r="F15" s="3">
        <v>810000</v>
      </c>
      <c r="G15" s="3">
        <v>600000</v>
      </c>
      <c r="H15" s="3">
        <v>2810000</v>
      </c>
    </row>
    <row r="20" spans="1:4" x14ac:dyDescent="0.4">
      <c r="A20" s="21" t="s">
        <v>248</v>
      </c>
      <c r="B20" s="21" t="s">
        <v>245</v>
      </c>
    </row>
    <row r="21" spans="1:4" x14ac:dyDescent="0.4">
      <c r="A21" s="21" t="s">
        <v>239</v>
      </c>
      <c r="B21" t="s">
        <v>246</v>
      </c>
      <c r="C21" t="s">
        <v>247</v>
      </c>
      <c r="D21" t="s">
        <v>244</v>
      </c>
    </row>
    <row r="22" spans="1:4" x14ac:dyDescent="0.4">
      <c r="A22" s="22" t="s">
        <v>240</v>
      </c>
      <c r="B22" s="23">
        <v>3300000</v>
      </c>
      <c r="C22" s="23">
        <v>3100000</v>
      </c>
      <c r="D22" s="23">
        <v>3200000</v>
      </c>
    </row>
    <row r="23" spans="1:4" x14ac:dyDescent="0.4">
      <c r="A23" s="22" t="s">
        <v>241</v>
      </c>
      <c r="B23" s="23">
        <v>2800000</v>
      </c>
      <c r="C23" s="23">
        <v>2670000</v>
      </c>
      <c r="D23" s="23">
        <v>2735000</v>
      </c>
    </row>
    <row r="24" spans="1:4" x14ac:dyDescent="0.4">
      <c r="A24" s="22" t="s">
        <v>242</v>
      </c>
      <c r="B24" s="23">
        <v>4300000</v>
      </c>
      <c r="C24" s="23">
        <v>4000000</v>
      </c>
      <c r="D24" s="23">
        <v>4150000</v>
      </c>
    </row>
    <row r="25" spans="1:4" x14ac:dyDescent="0.4">
      <c r="A25" s="22" t="s">
        <v>243</v>
      </c>
      <c r="B25" s="23">
        <v>4900000</v>
      </c>
      <c r="C25" s="23">
        <v>4400000</v>
      </c>
      <c r="D25" s="23">
        <v>4650000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>
      <selection activeCell="H7" sqref="H7"/>
    </sheetView>
  </sheetViews>
  <sheetFormatPr defaultRowHeight="17.399999999999999" x14ac:dyDescent="0.4"/>
  <cols>
    <col min="1" max="1" width="12.3984375" bestFit="1" customWidth="1"/>
    <col min="2" max="2" width="13.19921875" bestFit="1" customWidth="1"/>
    <col min="5" max="5" width="12.19921875" bestFit="1" customWidth="1"/>
  </cols>
  <sheetData>
    <row r="1" spans="1:5" ht="21" x14ac:dyDescent="0.4">
      <c r="A1" s="19" t="s">
        <v>136</v>
      </c>
      <c r="B1" s="19"/>
    </row>
    <row r="2" spans="1:5" x14ac:dyDescent="0.4">
      <c r="A2" s="6" t="s">
        <v>167</v>
      </c>
      <c r="B2" s="7">
        <v>40000000</v>
      </c>
      <c r="D2" s="1"/>
      <c r="E2" s="2" t="s">
        <v>197</v>
      </c>
    </row>
    <row r="3" spans="1:5" x14ac:dyDescent="0.4">
      <c r="A3" s="6" t="s">
        <v>168</v>
      </c>
      <c r="B3" s="7">
        <f>PMT(B4/12,B5*12,,-B2)</f>
        <v>804317.87643979234</v>
      </c>
      <c r="D3" s="2" t="s">
        <v>137</v>
      </c>
      <c r="E3" s="8">
        <f>PMT(B4/12,B5*12,,-B2)</f>
        <v>804317.87643979234</v>
      </c>
    </row>
    <row r="4" spans="1:5" x14ac:dyDescent="0.4">
      <c r="A4" s="6" t="s">
        <v>169</v>
      </c>
      <c r="B4" s="12">
        <v>1.7999999999999999E-2</v>
      </c>
      <c r="D4" s="11">
        <v>1</v>
      </c>
      <c r="E4" s="7">
        <f t="dataTable" ref="E4:E10" dt2D="0" dtr="0" r1="B5"/>
        <v>3305922.6408841587</v>
      </c>
    </row>
    <row r="5" spans="1:5" x14ac:dyDescent="0.4">
      <c r="A5" s="6" t="s">
        <v>170</v>
      </c>
      <c r="B5" s="10">
        <v>4</v>
      </c>
      <c r="D5" s="11">
        <v>2</v>
      </c>
      <c r="E5" s="7">
        <v>1638096.2156565201</v>
      </c>
    </row>
    <row r="6" spans="1:5" x14ac:dyDescent="0.4">
      <c r="D6" s="11">
        <v>3</v>
      </c>
      <c r="E6" s="7">
        <v>1082214.0208778658</v>
      </c>
    </row>
    <row r="7" spans="1:5" x14ac:dyDescent="0.4">
      <c r="D7" s="11">
        <v>4</v>
      </c>
      <c r="E7" s="7">
        <v>804317.87643979234</v>
      </c>
    </row>
    <row r="8" spans="1:5" x14ac:dyDescent="0.4">
      <c r="D8" s="11">
        <v>5</v>
      </c>
      <c r="E8" s="7">
        <v>637616.14399556699</v>
      </c>
    </row>
    <row r="9" spans="1:5" x14ac:dyDescent="0.4">
      <c r="D9" s="11">
        <v>6</v>
      </c>
      <c r="E9" s="7">
        <v>526511.60882697057</v>
      </c>
    </row>
    <row r="10" spans="1:5" x14ac:dyDescent="0.4">
      <c r="D10" s="11">
        <v>7.0000000000000009</v>
      </c>
      <c r="E10" s="7">
        <v>447176.89153994102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>
      <selection activeCell="I17" sqref="I17"/>
    </sheetView>
  </sheetViews>
  <sheetFormatPr defaultRowHeight="17.399999999999999" x14ac:dyDescent="0.4"/>
  <cols>
    <col min="1" max="1" width="12.3984375" bestFit="1" customWidth="1"/>
  </cols>
  <sheetData>
    <row r="1" spans="1:6" ht="21" x14ac:dyDescent="0.4">
      <c r="A1" s="19" t="s">
        <v>171</v>
      </c>
      <c r="B1" s="19"/>
      <c r="C1" s="19"/>
      <c r="D1" s="19"/>
      <c r="E1" s="19"/>
      <c r="F1" s="19"/>
    </row>
    <row r="2" spans="1:6" x14ac:dyDescent="0.4">
      <c r="F2" t="s">
        <v>172</v>
      </c>
    </row>
    <row r="3" spans="1:6" x14ac:dyDescent="0.4">
      <c r="A3" s="20" t="s">
        <v>173</v>
      </c>
      <c r="B3" s="20" t="s">
        <v>174</v>
      </c>
      <c r="C3" s="20" t="s">
        <v>175</v>
      </c>
      <c r="D3" s="20" t="s">
        <v>176</v>
      </c>
      <c r="E3" s="20" t="s">
        <v>177</v>
      </c>
      <c r="F3" s="20" t="s">
        <v>178</v>
      </c>
    </row>
    <row r="4" spans="1:6" x14ac:dyDescent="0.4">
      <c r="A4" s="2" t="s">
        <v>179</v>
      </c>
      <c r="B4" s="2">
        <v>21.2</v>
      </c>
      <c r="C4" s="2">
        <v>20.3</v>
      </c>
      <c r="D4" s="2">
        <v>23.4</v>
      </c>
      <c r="E4" s="2">
        <v>22.7</v>
      </c>
      <c r="F4" s="13">
        <f>AVERAGE(B4:E4)</f>
        <v>21.900000000000002</v>
      </c>
    </row>
    <row r="5" spans="1:6" x14ac:dyDescent="0.4">
      <c r="A5" s="2" t="s">
        <v>180</v>
      </c>
      <c r="B5" s="2">
        <v>8.9</v>
      </c>
      <c r="C5" s="2">
        <v>8.6999999999999993</v>
      </c>
      <c r="D5" s="2">
        <v>8.4</v>
      </c>
      <c r="E5" s="2">
        <v>8.1</v>
      </c>
      <c r="F5" s="13">
        <f t="shared" ref="F5:F10" si="0">AVERAGE(B5:E5)</f>
        <v>8.5250000000000004</v>
      </c>
    </row>
    <row r="6" spans="1:6" x14ac:dyDescent="0.4">
      <c r="A6" s="2" t="s">
        <v>181</v>
      </c>
      <c r="B6" s="2">
        <v>20.100000000000001</v>
      </c>
      <c r="C6" s="2">
        <v>20.6</v>
      </c>
      <c r="D6" s="2">
        <v>21.7</v>
      </c>
      <c r="E6" s="2">
        <v>22.2</v>
      </c>
      <c r="F6" s="13">
        <f t="shared" si="0"/>
        <v>21.150000000000002</v>
      </c>
    </row>
    <row r="7" spans="1:6" x14ac:dyDescent="0.4">
      <c r="A7" s="2" t="s">
        <v>182</v>
      </c>
      <c r="B7" s="2">
        <v>6.2</v>
      </c>
      <c r="C7" s="2">
        <v>6.7</v>
      </c>
      <c r="D7" s="2">
        <v>7.3</v>
      </c>
      <c r="E7" s="2">
        <v>7.7</v>
      </c>
      <c r="F7" s="13">
        <f t="shared" si="0"/>
        <v>6.9749999999999996</v>
      </c>
    </row>
    <row r="8" spans="1:6" x14ac:dyDescent="0.4">
      <c r="A8" s="2" t="s">
        <v>183</v>
      </c>
      <c r="B8" s="2">
        <v>19.100000000000001</v>
      </c>
      <c r="C8" s="2">
        <v>18.899999999999999</v>
      </c>
      <c r="D8" s="2">
        <v>17.2</v>
      </c>
      <c r="E8" s="2">
        <v>18.2</v>
      </c>
      <c r="F8" s="13">
        <f t="shared" si="0"/>
        <v>18.350000000000001</v>
      </c>
    </row>
    <row r="9" spans="1:6" x14ac:dyDescent="0.4">
      <c r="A9" s="2" t="s">
        <v>184</v>
      </c>
      <c r="B9" s="2">
        <v>16.100000000000001</v>
      </c>
      <c r="C9" s="2">
        <v>15.9</v>
      </c>
      <c r="D9" s="2">
        <v>16.600000000000001</v>
      </c>
      <c r="E9" s="2">
        <v>16.3</v>
      </c>
      <c r="F9" s="13">
        <f t="shared" si="0"/>
        <v>16.225000000000001</v>
      </c>
    </row>
    <row r="10" spans="1:6" x14ac:dyDescent="0.4">
      <c r="A10" s="2" t="s">
        <v>185</v>
      </c>
      <c r="B10" s="2">
        <v>6.5</v>
      </c>
      <c r="C10" s="2">
        <v>5.8</v>
      </c>
      <c r="D10" s="2">
        <v>5.0999999999999996</v>
      </c>
      <c r="E10" s="2">
        <v>4.5</v>
      </c>
      <c r="F10" s="13">
        <f t="shared" si="0"/>
        <v>5.4749999999999996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7620</xdr:colOff>
                    <xdr:row>11</xdr:row>
                    <xdr:rowOff>0</xdr:rowOff>
                  </from>
                  <to>
                    <xdr:col>3</xdr:col>
                    <xdr:colOff>7620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tabSelected="1" topLeftCell="A7" workbookViewId="0">
      <selection activeCell="N18" sqref="N18"/>
    </sheetView>
  </sheetViews>
  <sheetFormatPr defaultRowHeight="17.399999999999999" x14ac:dyDescent="0.4"/>
  <cols>
    <col min="1" max="1" width="10.5" bestFit="1" customWidth="1"/>
    <col min="4" max="4" width="10.59765625" bestFit="1" customWidth="1"/>
    <col min="5" max="5" width="10.5" bestFit="1" customWidth="1"/>
  </cols>
  <sheetData>
    <row r="1" spans="1:5" ht="21" x14ac:dyDescent="0.4">
      <c r="A1" s="19" t="s">
        <v>186</v>
      </c>
      <c r="B1" s="19"/>
      <c r="C1" s="19"/>
      <c r="D1" s="19"/>
      <c r="E1" s="19"/>
    </row>
    <row r="3" spans="1:5" x14ac:dyDescent="0.4">
      <c r="A3" s="2" t="s">
        <v>187</v>
      </c>
      <c r="B3" s="2" t="s">
        <v>188</v>
      </c>
      <c r="C3" s="2" t="s">
        <v>189</v>
      </c>
      <c r="D3" s="2" t="s">
        <v>190</v>
      </c>
      <c r="E3" s="2" t="s">
        <v>191</v>
      </c>
    </row>
    <row r="4" spans="1:5" x14ac:dyDescent="0.4">
      <c r="A4" s="2" t="s">
        <v>192</v>
      </c>
      <c r="B4" s="3">
        <v>1050</v>
      </c>
      <c r="C4" s="3">
        <v>995</v>
      </c>
      <c r="D4" s="3">
        <v>1190000</v>
      </c>
      <c r="E4" s="9">
        <f>C4/B4</f>
        <v>0.94761904761904758</v>
      </c>
    </row>
    <row r="5" spans="1:5" x14ac:dyDescent="0.4">
      <c r="A5" s="2" t="s">
        <v>193</v>
      </c>
      <c r="B5" s="3">
        <v>1150</v>
      </c>
      <c r="C5" s="3">
        <v>1209</v>
      </c>
      <c r="D5" s="3">
        <v>1050000</v>
      </c>
      <c r="E5" s="9">
        <f t="shared" ref="E5:E8" si="0">C5/B5</f>
        <v>1.0513043478260871</v>
      </c>
    </row>
    <row r="6" spans="1:5" x14ac:dyDescent="0.4">
      <c r="A6" s="2" t="s">
        <v>138</v>
      </c>
      <c r="B6" s="3">
        <v>1250</v>
      </c>
      <c r="C6" s="3">
        <v>1342</v>
      </c>
      <c r="D6" s="3">
        <v>1250000</v>
      </c>
      <c r="E6" s="9">
        <f t="shared" si="0"/>
        <v>1.0736000000000001</v>
      </c>
    </row>
    <row r="7" spans="1:5" x14ac:dyDescent="0.4">
      <c r="A7" s="2" t="s">
        <v>194</v>
      </c>
      <c r="B7" s="3">
        <v>950</v>
      </c>
      <c r="C7" s="3">
        <v>982</v>
      </c>
      <c r="D7" s="3">
        <v>880000</v>
      </c>
      <c r="E7" s="9">
        <f t="shared" si="0"/>
        <v>1.0336842105263158</v>
      </c>
    </row>
    <row r="8" spans="1:5" x14ac:dyDescent="0.4">
      <c r="A8" s="2" t="s">
        <v>195</v>
      </c>
      <c r="B8" s="3">
        <v>1100</v>
      </c>
      <c r="C8" s="3">
        <v>1320</v>
      </c>
      <c r="D8" s="3">
        <v>950000</v>
      </c>
      <c r="E8" s="9">
        <f t="shared" si="0"/>
        <v>1.2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2021-03-11T05:14:31Z</dcterms:created>
  <dcterms:modified xsi:type="dcterms:W3CDTF">2024-07-16T12:44:55Z</dcterms:modified>
</cp:coreProperties>
</file>