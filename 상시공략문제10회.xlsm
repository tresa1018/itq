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"/>
    </mc:Choice>
  </mc:AlternateContent>
  <xr:revisionPtr revIDLastSave="0" documentId="13_ncr:1_{F24915E4-A57B-44E1-B95C-3AAEAEE7EFA7}" xr6:coauthVersionLast="47" xr6:coauthVersionMax="47" xr10:uidLastSave="{00000000-0000-0000-0000-000000000000}"/>
  <bookViews>
    <workbookView xWindow="120" yWindow="315" windowWidth="18270" windowHeight="13980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9" l="1"/>
  <c r="L9" i="9"/>
  <c r="L8" i="9"/>
  <c r="L7" i="9"/>
  <c r="L6" i="9"/>
  <c r="L5" i="9"/>
  <c r="L4" i="9"/>
  <c r="L3" i="9"/>
  <c r="G15" i="2" l="1"/>
  <c r="F15" i="2"/>
  <c r="E15" i="2"/>
  <c r="D15" i="2"/>
  <c r="C15" i="2"/>
  <c r="B15" i="2"/>
</calcChain>
</file>

<file path=xl/sharedStrings.xml><?xml version="1.0" encoding="utf-8"?>
<sst xmlns="http://schemas.openxmlformats.org/spreadsheetml/2006/main" count="389" uniqueCount="281">
  <si>
    <t>윌라 오디오북 도서 목록</t>
    <phoneticPr fontId="2" type="noConversion"/>
  </si>
  <si>
    <t>[표1] 수강분류별 신청인원/금액 평균</t>
    <phoneticPr fontId="1" type="noConversion"/>
  </si>
  <si>
    <t>수강분류</t>
    <phoneticPr fontId="1" type="noConversion"/>
  </si>
  <si>
    <t>신청인원</t>
    <phoneticPr fontId="1" type="noConversion"/>
  </si>
  <si>
    <t>금액</t>
    <phoneticPr fontId="1" type="noConversion"/>
  </si>
  <si>
    <t>어르신</t>
    <phoneticPr fontId="1" type="noConversion"/>
  </si>
  <si>
    <t>직장인</t>
    <phoneticPr fontId="1" type="noConversion"/>
  </si>
  <si>
    <t>주부</t>
    <phoneticPr fontId="1" type="noConversion"/>
  </si>
  <si>
    <t>청소년</t>
    <phoneticPr fontId="1" type="noConversion"/>
  </si>
  <si>
    <t>어린이</t>
    <phoneticPr fontId="1" type="noConversion"/>
  </si>
  <si>
    <t>구분</t>
  </si>
  <si>
    <t>수강분류</t>
  </si>
  <si>
    <t>특강주</t>
  </si>
  <si>
    <t>신청인원</t>
  </si>
  <si>
    <t>비회원</t>
  </si>
  <si>
    <t>회원</t>
  </si>
  <si>
    <t>회원-2주</t>
  </si>
  <si>
    <t>성인</t>
  </si>
  <si>
    <t>서호형</t>
  </si>
  <si>
    <t>비회원-3주</t>
  </si>
  <si>
    <t>조숙희</t>
  </si>
  <si>
    <t>회원-3주</t>
  </si>
  <si>
    <t>어린이</t>
  </si>
  <si>
    <t>홍영식</t>
  </si>
  <si>
    <t>회원-1주</t>
  </si>
  <si>
    <t>정희숙</t>
  </si>
  <si>
    <t>김시습</t>
  </si>
  <si>
    <t>차주석</t>
  </si>
  <si>
    <t>비회원-2주</t>
  </si>
  <si>
    <t>이숙진</t>
  </si>
  <si>
    <t>이창명</t>
  </si>
  <si>
    <t>김중건</t>
  </si>
  <si>
    <t>회원-4주</t>
  </si>
  <si>
    <t>비회원-4주</t>
  </si>
  <si>
    <t>고진웅</t>
  </si>
  <si>
    <t>안대훈</t>
  </si>
  <si>
    <t>민들레</t>
  </si>
  <si>
    <t>특강 날짜</t>
  </si>
  <si>
    <t>금액</t>
  </si>
  <si>
    <t>김솔오</t>
  </si>
  <si>
    <t>오덕우</t>
  </si>
  <si>
    <t>김은소</t>
  </si>
  <si>
    <t>출발공항</t>
  </si>
  <si>
    <t>공항코드</t>
  </si>
  <si>
    <t>항공월</t>
  </si>
  <si>
    <t>항공편명</t>
  </si>
  <si>
    <t>항공코드</t>
  </si>
  <si>
    <t>여객</t>
  </si>
  <si>
    <t>화물</t>
  </si>
  <si>
    <t>제주</t>
  </si>
  <si>
    <t>CJU</t>
  </si>
  <si>
    <t>KE021</t>
  </si>
  <si>
    <t>GMPKE021</t>
  </si>
  <si>
    <t>김해</t>
  </si>
  <si>
    <t>PUS</t>
  </si>
  <si>
    <t>GMPBX074</t>
  </si>
  <si>
    <t>대구</t>
  </si>
  <si>
    <t>TAE</t>
  </si>
  <si>
    <t>JL055</t>
  </si>
  <si>
    <t>GMPJL055</t>
  </si>
  <si>
    <t>광주</t>
  </si>
  <si>
    <t>KWJ</t>
  </si>
  <si>
    <t>KE056</t>
  </si>
  <si>
    <t>CJUKE056</t>
  </si>
  <si>
    <t>KWJTW061</t>
  </si>
  <si>
    <t>KE035</t>
  </si>
  <si>
    <t>CJUKE035</t>
  </si>
  <si>
    <t>김포</t>
  </si>
  <si>
    <t>GMP</t>
  </si>
  <si>
    <t>KE022</t>
  </si>
  <si>
    <t>CJUKE022</t>
  </si>
  <si>
    <t>4J041</t>
  </si>
  <si>
    <t>PUSCJ041</t>
  </si>
  <si>
    <t>CJUOZ046</t>
  </si>
  <si>
    <t>TAEBX086</t>
  </si>
  <si>
    <t>GMPTW064</t>
  </si>
  <si>
    <t>PUSTW042</t>
  </si>
  <si>
    <t>JL081</t>
  </si>
  <si>
    <t>GMPJL081</t>
  </si>
  <si>
    <t>KWJBX072</t>
  </si>
  <si>
    <t>JL051</t>
  </si>
  <si>
    <t>PUSJL051</t>
  </si>
  <si>
    <t>GMPTW076</t>
  </si>
  <si>
    <t>GMPBX065</t>
  </si>
  <si>
    <t>CJUOZ044</t>
  </si>
  <si>
    <t>GMPBX084</t>
  </si>
  <si>
    <t>RS071</t>
  </si>
  <si>
    <t>KWJRS071</t>
  </si>
  <si>
    <t>GMPOZ031</t>
  </si>
  <si>
    <t>JL052</t>
  </si>
  <si>
    <t>PUSJL052</t>
  </si>
  <si>
    <t>JL066</t>
  </si>
  <si>
    <t>GMPJL066</t>
  </si>
  <si>
    <t>KWJTW075</t>
  </si>
  <si>
    <t>KE054</t>
  </si>
  <si>
    <t>CJUKE054</t>
  </si>
  <si>
    <t>CJUOZ032</t>
  </si>
  <si>
    <t>KE082</t>
  </si>
  <si>
    <t>TAEKE082</t>
  </si>
  <si>
    <t>CJU7C034</t>
  </si>
  <si>
    <t>CJUOZ045</t>
  </si>
  <si>
    <t>KWJC7062</t>
  </si>
  <si>
    <t>이름</t>
    <phoneticPr fontId="1" type="noConversion"/>
  </si>
  <si>
    <t>아파트동호수</t>
    <phoneticPr fontId="1" type="noConversion"/>
  </si>
  <si>
    <t>연락처</t>
    <phoneticPr fontId="1" type="noConversion"/>
  </si>
  <si>
    <t>전기사용량</t>
    <phoneticPr fontId="1" type="noConversion"/>
  </si>
  <si>
    <t>수도사용량</t>
    <phoneticPr fontId="1" type="noConversion"/>
  </si>
  <si>
    <t>김민지</t>
    <phoneticPr fontId="1" type="noConversion"/>
  </si>
  <si>
    <t>010-2222-4444</t>
    <phoneticPr fontId="1" type="noConversion"/>
  </si>
  <si>
    <t>김순자</t>
    <phoneticPr fontId="1" type="noConversion"/>
  </si>
  <si>
    <t>010-3456-9874</t>
    <phoneticPr fontId="1" type="noConversion"/>
  </si>
  <si>
    <t>이지현</t>
    <phoneticPr fontId="1" type="noConversion"/>
  </si>
  <si>
    <t>010-2587-9632</t>
    <phoneticPr fontId="1" type="noConversion"/>
  </si>
  <si>
    <t>이지훈</t>
    <phoneticPr fontId="1" type="noConversion"/>
  </si>
  <si>
    <t>010-8520-3697</t>
    <phoneticPr fontId="1" type="noConversion"/>
  </si>
  <si>
    <t>최미경</t>
    <phoneticPr fontId="1" type="noConversion"/>
  </si>
  <si>
    <t>010-9134-7850</t>
    <phoneticPr fontId="1" type="noConversion"/>
  </si>
  <si>
    <t>한주원</t>
    <phoneticPr fontId="1" type="noConversion"/>
  </si>
  <si>
    <t>010-7412-8520</t>
    <phoneticPr fontId="1" type="noConversion"/>
  </si>
  <si>
    <t>황서연</t>
    <phoneticPr fontId="1" type="noConversion"/>
  </si>
  <si>
    <t>010-9510-3574</t>
    <phoneticPr fontId="1" type="noConversion"/>
  </si>
  <si>
    <t>국영수</t>
    <phoneticPr fontId="1" type="noConversion"/>
  </si>
  <si>
    <t>010-4561-3217</t>
    <phoneticPr fontId="1" type="noConversion"/>
  </si>
  <si>
    <t>박동현</t>
    <phoneticPr fontId="1" type="noConversion"/>
  </si>
  <si>
    <t>010-7891-6543</t>
    <phoneticPr fontId="1" type="noConversion"/>
  </si>
  <si>
    <t>유지민</t>
    <phoneticPr fontId="1" type="noConversion"/>
  </si>
  <si>
    <t>010-3697-7410</t>
    <phoneticPr fontId="1" type="noConversion"/>
  </si>
  <si>
    <t>홍준호</t>
    <phoneticPr fontId="1" type="noConversion"/>
  </si>
  <si>
    <t>010-7418-8574</t>
    <phoneticPr fontId="1" type="noConversion"/>
  </si>
  <si>
    <t>강서윤</t>
    <phoneticPr fontId="1" type="noConversion"/>
  </si>
  <si>
    <t>010-4862-9571</t>
    <phoneticPr fontId="1" type="noConversion"/>
  </si>
  <si>
    <t>김하준</t>
    <phoneticPr fontId="1" type="noConversion"/>
  </si>
  <si>
    <t>010-3678-9742</t>
    <phoneticPr fontId="1" type="noConversion"/>
  </si>
  <si>
    <t>신미숙</t>
    <phoneticPr fontId="1" type="noConversion"/>
  </si>
  <si>
    <t>010-3020-9874</t>
    <phoneticPr fontId="1" type="noConversion"/>
  </si>
  <si>
    <t>사원코드</t>
    <phoneticPr fontId="1" type="noConversion"/>
  </si>
  <si>
    <t>목표량</t>
    <phoneticPr fontId="1" type="noConversion"/>
  </si>
  <si>
    <t>판매량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</si>
  <si>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</si>
  <si>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</si>
  <si>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</si>
  <si>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1월</t>
    <phoneticPr fontId="1" type="noConversion"/>
  </si>
  <si>
    <t>합계</t>
    <phoneticPr fontId="1" type="noConversion"/>
  </si>
  <si>
    <t>TM-101</t>
  </si>
  <si>
    <t>TM-102</t>
  </si>
  <si>
    <t>TM-103</t>
  </si>
  <si>
    <t>TM-104</t>
  </si>
  <si>
    <t>TM-105</t>
  </si>
  <si>
    <t>TM-106</t>
  </si>
  <si>
    <t>TM-107</t>
  </si>
  <si>
    <t>TM-108</t>
  </si>
  <si>
    <t>TM-109</t>
  </si>
  <si>
    <t>TM-110</t>
  </si>
  <si>
    <t>1분기 판매 실적</t>
    <phoneticPr fontId="1" type="noConversion"/>
  </si>
  <si>
    <t>작성일</t>
    <phoneticPr fontId="1" type="noConversion"/>
  </si>
  <si>
    <t>상반기 공항별 이용 현황</t>
    <phoneticPr fontId="1" type="noConversion"/>
  </si>
  <si>
    <t>구분별 특강 신청 현황</t>
    <phoneticPr fontId="1" type="noConversion"/>
  </si>
  <si>
    <t>강사명</t>
    <phoneticPr fontId="1" type="noConversion"/>
  </si>
  <si>
    <t>어린이</t>
    <phoneticPr fontId="1" type="noConversion"/>
  </si>
  <si>
    <t>성인</t>
    <phoneticPr fontId="1" type="noConversion"/>
  </si>
  <si>
    <t>구교선</t>
    <phoneticPr fontId="1" type="noConversion"/>
  </si>
  <si>
    <t>최대값</t>
    <phoneticPr fontId="1" type="noConversion"/>
  </si>
  <si>
    <t xml:space="preserve">[표1] </t>
    <phoneticPr fontId="1" type="noConversion"/>
  </si>
  <si>
    <t>전통시장 5일장 판매실적</t>
    <phoneticPr fontId="1" type="noConversion"/>
  </si>
  <si>
    <t>[표2]</t>
    <phoneticPr fontId="1" type="noConversion"/>
  </si>
  <si>
    <t>신입사원 면접 현황</t>
    <phoneticPr fontId="1" type="noConversion"/>
  </si>
  <si>
    <t>메뉴</t>
    <phoneticPr fontId="1" type="noConversion"/>
  </si>
  <si>
    <t>장터판매일</t>
    <phoneticPr fontId="1" type="noConversion"/>
  </si>
  <si>
    <t>판매량</t>
    <phoneticPr fontId="1" type="noConversion"/>
  </si>
  <si>
    <t>판매금액</t>
    <phoneticPr fontId="1" type="noConversion"/>
  </si>
  <si>
    <t>판매요일</t>
  </si>
  <si>
    <t>응시번호</t>
    <phoneticPr fontId="1" type="noConversion"/>
  </si>
  <si>
    <t>지원팀</t>
    <phoneticPr fontId="1" type="noConversion"/>
  </si>
  <si>
    <t>1차면접</t>
    <phoneticPr fontId="1" type="noConversion"/>
  </si>
  <si>
    <t>2차면접</t>
    <phoneticPr fontId="1" type="noConversion"/>
  </si>
  <si>
    <t>자격증</t>
    <phoneticPr fontId="1" type="noConversion"/>
  </si>
  <si>
    <t>총점</t>
    <phoneticPr fontId="1" type="noConversion"/>
  </si>
  <si>
    <t>장터국밥</t>
    <phoneticPr fontId="1" type="noConversion"/>
  </si>
  <si>
    <t>SA21001</t>
    <phoneticPr fontId="1" type="noConversion"/>
  </si>
  <si>
    <t>기술팀</t>
    <phoneticPr fontId="1" type="noConversion"/>
  </si>
  <si>
    <t>돼지국밥</t>
    <phoneticPr fontId="1" type="noConversion"/>
  </si>
  <si>
    <t>SA21002</t>
  </si>
  <si>
    <t>영업팀</t>
    <phoneticPr fontId="1" type="noConversion"/>
  </si>
  <si>
    <t>칼국수</t>
    <phoneticPr fontId="1" type="noConversion"/>
  </si>
  <si>
    <t>SA21003</t>
  </si>
  <si>
    <t>인사팀</t>
    <phoneticPr fontId="1" type="noConversion"/>
  </si>
  <si>
    <t>비빔국수</t>
    <phoneticPr fontId="1" type="noConversion"/>
  </si>
  <si>
    <t>SA21004</t>
  </si>
  <si>
    <t>순대</t>
    <phoneticPr fontId="1" type="noConversion"/>
  </si>
  <si>
    <t>SA21005</t>
  </si>
  <si>
    <t>떢복기</t>
    <phoneticPr fontId="1" type="noConversion"/>
  </si>
  <si>
    <t>SA21006</t>
  </si>
  <si>
    <t>꽈배기</t>
    <phoneticPr fontId="1" type="noConversion"/>
  </si>
  <si>
    <t>SA21007</t>
  </si>
  <si>
    <t>&lt;조건&gt;</t>
    <phoneticPr fontId="1" type="noConversion"/>
  </si>
  <si>
    <t>닭강정</t>
    <phoneticPr fontId="1" type="noConversion"/>
  </si>
  <si>
    <t>SA21008</t>
  </si>
  <si>
    <t>빈대떡</t>
    <phoneticPr fontId="1" type="noConversion"/>
  </si>
  <si>
    <t>기술팀 지원자 총점 최대최소값</t>
    <phoneticPr fontId="1" type="noConversion"/>
  </si>
  <si>
    <t>[표3]</t>
    <phoneticPr fontId="1" type="noConversion"/>
  </si>
  <si>
    <t>경력사원 채용결과</t>
    <phoneticPr fontId="1" type="noConversion"/>
  </si>
  <si>
    <t>[표4]</t>
    <phoneticPr fontId="1" type="noConversion"/>
  </si>
  <si>
    <t>고속열차 예매 현황</t>
    <phoneticPr fontId="1" type="noConversion"/>
  </si>
  <si>
    <t>응시자명</t>
    <phoneticPr fontId="1" type="noConversion"/>
  </si>
  <si>
    <t>서류</t>
    <phoneticPr fontId="1" type="noConversion"/>
  </si>
  <si>
    <t>어학</t>
    <phoneticPr fontId="1" type="noConversion"/>
  </si>
  <si>
    <t>면접</t>
    <phoneticPr fontId="1" type="noConversion"/>
  </si>
  <si>
    <t>결과</t>
    <phoneticPr fontId="1" type="noConversion"/>
  </si>
  <si>
    <t>구간</t>
    <phoneticPr fontId="1" type="noConversion"/>
  </si>
  <si>
    <t>출발시간</t>
    <phoneticPr fontId="1" type="noConversion"/>
  </si>
  <si>
    <t>요금</t>
  </si>
  <si>
    <t>잔여좌석</t>
  </si>
  <si>
    <t>비고</t>
  </si>
  <si>
    <t>남궁연</t>
  </si>
  <si>
    <t>서울-천안아산</t>
    <phoneticPr fontId="1" type="noConversion"/>
  </si>
  <si>
    <t>백석희</t>
  </si>
  <si>
    <t>서울-광명</t>
    <phoneticPr fontId="1" type="noConversion"/>
  </si>
  <si>
    <t>서은혁</t>
  </si>
  <si>
    <t>서울-오송</t>
    <phoneticPr fontId="1" type="noConversion"/>
  </si>
  <si>
    <t>강이수</t>
  </si>
  <si>
    <t>서울-대전</t>
    <phoneticPr fontId="1" type="noConversion"/>
  </si>
  <si>
    <t>신경숙</t>
  </si>
  <si>
    <t>서울-신경주</t>
    <phoneticPr fontId="1" type="noConversion"/>
  </si>
  <si>
    <t>이문영</t>
  </si>
  <si>
    <t>광명-동대구</t>
    <phoneticPr fontId="1" type="noConversion"/>
  </si>
  <si>
    <t>배희진</t>
  </si>
  <si>
    <t>서울-울산</t>
    <phoneticPr fontId="1" type="noConversion"/>
  </si>
  <si>
    <t>현희태</t>
  </si>
  <si>
    <t>광명-부산</t>
    <phoneticPr fontId="1" type="noConversion"/>
  </si>
  <si>
    <t>최혁주</t>
  </si>
  <si>
    <t>오송-동대구</t>
    <phoneticPr fontId="1" type="noConversion"/>
  </si>
  <si>
    <t>강동규</t>
  </si>
  <si>
    <t>오송-울산</t>
    <phoneticPr fontId="1" type="noConversion"/>
  </si>
  <si>
    <t>[표5]</t>
    <phoneticPr fontId="1" type="noConversion"/>
  </si>
  <si>
    <t>공연관람현황</t>
    <phoneticPr fontId="1" type="noConversion"/>
  </si>
  <si>
    <t>관람일</t>
    <phoneticPr fontId="1" type="noConversion"/>
  </si>
  <si>
    <t>공연명</t>
    <phoneticPr fontId="1" type="noConversion"/>
  </si>
  <si>
    <t>결제금액</t>
    <phoneticPr fontId="1" type="noConversion"/>
  </si>
  <si>
    <t>포인트</t>
    <phoneticPr fontId="1" type="noConversion"/>
  </si>
  <si>
    <t>등급</t>
    <phoneticPr fontId="1" type="noConversion"/>
  </si>
  <si>
    <t>인디밴드</t>
    <phoneticPr fontId="1" type="noConversion"/>
  </si>
  <si>
    <t>록엔롤</t>
    <phoneticPr fontId="1" type="noConversion"/>
  </si>
  <si>
    <t>기타4중주</t>
    <phoneticPr fontId="1" type="noConversion"/>
  </si>
  <si>
    <t>피아노독주</t>
    <phoneticPr fontId="1" type="noConversion"/>
  </si>
  <si>
    <t>오케스트라</t>
    <phoneticPr fontId="1" type="noConversion"/>
  </si>
  <si>
    <t>현악4중주</t>
    <phoneticPr fontId="1" type="noConversion"/>
  </si>
  <si>
    <t>뮤지컬</t>
    <phoneticPr fontId="1" type="noConversion"/>
  </si>
  <si>
    <t>오페라</t>
    <phoneticPr fontId="1" type="noConversion"/>
  </si>
  <si>
    <t>국악</t>
    <phoneticPr fontId="1" type="noConversion"/>
  </si>
  <si>
    <t>사원번호</t>
    <phoneticPr fontId="1" type="noConversion"/>
  </si>
  <si>
    <t>부서</t>
    <phoneticPr fontId="1" type="noConversion"/>
  </si>
  <si>
    <t>근무년수</t>
    <phoneticPr fontId="1" type="noConversion"/>
  </si>
  <si>
    <t>인사평가</t>
    <phoneticPr fontId="1" type="noConversion"/>
  </si>
  <si>
    <t>출근시간</t>
    <phoneticPr fontId="1" type="noConversion"/>
  </si>
  <si>
    <t>소속</t>
    <phoneticPr fontId="1" type="noConversion"/>
  </si>
  <si>
    <t>G-S890</t>
    <phoneticPr fontId="1" type="noConversion"/>
  </si>
  <si>
    <t>생산</t>
    <phoneticPr fontId="1" type="noConversion"/>
  </si>
  <si>
    <t>B-K247</t>
    <phoneticPr fontId="1" type="noConversion"/>
  </si>
  <si>
    <t>신동민</t>
    <phoneticPr fontId="1" type="noConversion"/>
  </si>
  <si>
    <t>영업</t>
    <phoneticPr fontId="1" type="noConversion"/>
  </si>
  <si>
    <t>G-I679</t>
    <phoneticPr fontId="1" type="noConversion"/>
  </si>
  <si>
    <t>김국자</t>
    <phoneticPr fontId="1" type="noConversion"/>
  </si>
  <si>
    <t>B-S247</t>
    <phoneticPr fontId="1" type="noConversion"/>
  </si>
  <si>
    <t>이옥희</t>
    <phoneticPr fontId="1" type="noConversion"/>
  </si>
  <si>
    <t>G-K375</t>
    <phoneticPr fontId="1" type="noConversion"/>
  </si>
  <si>
    <t>강성민</t>
    <phoneticPr fontId="1" type="noConversion"/>
  </si>
  <si>
    <t>관리</t>
    <phoneticPr fontId="1" type="noConversion"/>
  </si>
  <si>
    <t>G-S614</t>
    <phoneticPr fontId="1" type="noConversion"/>
  </si>
  <si>
    <t>우재호</t>
    <phoneticPr fontId="1" type="noConversion"/>
  </si>
  <si>
    <t>B-K978</t>
    <phoneticPr fontId="1" type="noConversion"/>
  </si>
  <si>
    <t>B-I140</t>
    <phoneticPr fontId="1" type="noConversion"/>
  </si>
  <si>
    <t>유전수</t>
    <phoneticPr fontId="1" type="noConversion"/>
  </si>
  <si>
    <t>G-S124</t>
    <phoneticPr fontId="1" type="noConversion"/>
  </si>
  <si>
    <t>G-S852</t>
    <phoneticPr fontId="1" type="noConversion"/>
  </si>
  <si>
    <t>박기찬</t>
    <phoneticPr fontId="1" type="noConversion"/>
  </si>
  <si>
    <t>지사</t>
  </si>
  <si>
    <t>본사</t>
  </si>
  <si>
    <t>사원 근무평가</t>
    <phoneticPr fontId="1" type="noConversion"/>
  </si>
  <si>
    <t>김예솔</t>
    <phoneticPr fontId="1" type="noConversion"/>
  </si>
  <si>
    <t>김정우</t>
    <phoneticPr fontId="1" type="noConversion"/>
  </si>
  <si>
    <t>김수민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</si>
</sst>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[&gt;=10000]0&quot;단지 &quot;0000&quot;호&quot;;0&quot;단지 &quot;000&quot;호&quot;"/>
    <numFmt numFmtId="177" formatCode="mm&quot;월&quot;\ dd&quot;일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6" fillId="0" borderId="1" xfId="2" applyFont="1" applyFill="1" applyBorder="1" applyAlignment="1">
      <alignment horizontal="center" wrapText="1"/>
    </xf>
    <xf numFmtId="0" fontId="0" fillId="0" borderId="1" xfId="0" applyFill="1" applyBorder="1">
      <alignment vertical="center"/>
    </xf>
    <xf numFmtId="41" fontId="0" fillId="0" borderId="1" xfId="1" applyFont="1" applyFill="1" applyBorder="1">
      <alignment vertical="center"/>
    </xf>
    <xf numFmtId="14" fontId="0" fillId="0" borderId="1" xfId="0" applyNumberForma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0" fillId="0" borderId="0" xfId="0" applyNumberFormat="1" applyBorder="1">
      <alignment vertical="center"/>
    </xf>
    <xf numFmtId="41" fontId="0" fillId="0" borderId="0" xfId="1" applyFont="1" applyBorder="1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7" fillId="0" borderId="0" xfId="3" applyFont="1">
      <alignment vertical="center"/>
    </xf>
    <xf numFmtId="0" fontId="8" fillId="0" borderId="0" xfId="3" applyFont="1">
      <alignment vertical="center"/>
    </xf>
    <xf numFmtId="0" fontId="4" fillId="0" borderId="0" xfId="3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3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1" xfId="3" applyFont="1" applyFill="1" applyBorder="1" applyAlignment="1">
      <alignment horizontal="center" vertical="center"/>
    </xf>
    <xf numFmtId="0" fontId="4" fillId="0" borderId="1" xfId="3" applyFill="1" applyBorder="1" applyAlignment="1">
      <alignment horizontal="center" vertical="center"/>
    </xf>
    <xf numFmtId="0" fontId="4" fillId="0" borderId="1" xfId="3" applyBorder="1" applyAlignment="1">
      <alignment horizontal="center" vertical="center"/>
    </xf>
    <xf numFmtId="0" fontId="4" fillId="0" borderId="0" xfId="3" applyBorder="1" applyAlignment="1">
      <alignment horizontal="center" vertical="center"/>
    </xf>
    <xf numFmtId="0" fontId="7" fillId="0" borderId="0" xfId="4" applyFont="1">
      <alignment vertical="center"/>
    </xf>
    <xf numFmtId="0" fontId="8" fillId="0" borderId="0" xfId="4" applyFont="1">
      <alignment vertical="center"/>
    </xf>
    <xf numFmtId="0" fontId="4" fillId="0" borderId="0" xfId="4">
      <alignment vertical="center"/>
    </xf>
    <xf numFmtId="0" fontId="0" fillId="0" borderId="1" xfId="4" applyFont="1" applyBorder="1" applyAlignment="1">
      <alignment horizontal="center" vertical="center"/>
    </xf>
    <xf numFmtId="0" fontId="0" fillId="3" borderId="1" xfId="4" applyFont="1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8" fillId="4" borderId="0" xfId="0" applyFont="1" applyFill="1">
      <alignment vertical="center"/>
    </xf>
    <xf numFmtId="21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2" xfId="3" applyFont="1" applyFill="1" applyBorder="1" applyAlignment="1">
      <alignment horizontal="center" vertical="center"/>
    </xf>
    <xf numFmtId="0" fontId="4" fillId="3" borderId="3" xfId="3" applyFill="1" applyBorder="1" applyAlignment="1">
      <alignment horizontal="center" vertical="center"/>
    </xf>
    <xf numFmtId="0" fontId="4" fillId="3" borderId="4" xfId="3" applyFill="1" applyBorder="1" applyAlignment="1">
      <alignment horizontal="center" vertical="center"/>
    </xf>
  </cellXfs>
  <cellStyles count="5">
    <cellStyle name="쉼표 [0]" xfId="1" builtinId="6"/>
    <cellStyle name="표준" xfId="0" builtinId="0"/>
    <cellStyle name="표준 2" xfId="4" xr:uid="{00000000-0005-0000-0000-000002000000}"/>
    <cellStyle name="표준 3 2" xfId="3" xr:uid="{00000000-0005-0000-0000-000003000000}"/>
    <cellStyle name="표준_계산작업" xfId="2" xr:uid="{00000000-0005-0000-0000-000004000000}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신청인원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45</c:v>
                </c:pt>
                <c:pt idx="3">
                  <c:v>18</c:v>
                </c:pt>
                <c:pt idx="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E-4777-9183-3E7B1034920A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>
                  <c:v>139780</c:v>
                </c:pt>
                <c:pt idx="1">
                  <c:v>291500</c:v>
                </c:pt>
                <c:pt idx="2">
                  <c:v>325000</c:v>
                </c:pt>
                <c:pt idx="3">
                  <c:v>178540</c:v>
                </c:pt>
                <c:pt idx="4">
                  <c:v>213700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9E-4777-9183-3E7B10349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1804064"/>
        <c:axId val="1131801152"/>
      </c:barChart>
      <c:catAx>
        <c:axId val="11318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1801152"/>
        <c:crosses val="autoZero"/>
        <c:auto val="1"/>
        <c:lblAlgn val="ctr"/>
        <c:lblOffset val="100"/>
        <c:noMultiLvlLbl val="0"/>
      </c:catAx>
      <c:valAx>
        <c:axId val="11318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180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12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"/>
  <sheetViews>
    <sheetView tabSelected="1" workbookViewId="0"/>
  </sheetViews>
  <sheetFormatPr defaultRowHeight="16.5"/>
  <cols>
    <col min="1" max="1" width="23.25" bestFit="1" customWidth="1"/>
    <col min="2" max="2" width="17" bestFit="1" customWidth="1"/>
    <col min="3" max="3" width="11.5" customWidth="1"/>
    <col min="4" max="4" width="11.875" bestFit="1" customWidth="1"/>
    <col min="5" max="5" width="15" bestFit="1" customWidth="1"/>
    <col min="6" max="6" width="11.375" bestFit="1" customWidth="1"/>
    <col min="7" max="7" width="9.25" bestFit="1" customWidth="1"/>
  </cols>
  <sheetData>
    <row r="1" spans="1:7">
      <c r="A1" s="1" t="s">
        <v>0</v>
      </c>
      <c r="B1" s="1"/>
      <c r="C1" s="1"/>
      <c r="D1" s="1"/>
      <c r="E1" s="1"/>
      <c r="F1" s="1"/>
      <c r="G1" s="1"/>
    </row>
    <row r="2" spans="1:7">
      <c r="A2" s="1"/>
      <c r="B2" s="1"/>
      <c r="C2" s="1"/>
      <c r="D2" s="1"/>
      <c r="E2" s="1"/>
      <c r="F2" s="1"/>
      <c r="G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5"/>
  <sheetViews>
    <sheetView workbookViewId="0"/>
  </sheetViews>
  <sheetFormatPr defaultRowHeight="16.5"/>
  <sheetData>
    <row r="1" spans="1:7">
      <c r="A1" t="s">
        <v>153</v>
      </c>
    </row>
    <row r="2" spans="1:7">
      <c r="E2" t="s">
        <v>154</v>
      </c>
      <c r="F2" s="38">
        <v>45762</v>
      </c>
      <c r="G2" s="39"/>
    </row>
    <row r="3" spans="1:7">
      <c r="A3" t="s">
        <v>135</v>
      </c>
      <c r="B3" t="s">
        <v>136</v>
      </c>
      <c r="E3" t="s">
        <v>137</v>
      </c>
    </row>
    <row r="4" spans="1:7">
      <c r="B4" s="14" t="s">
        <v>138</v>
      </c>
      <c r="C4" s="14" t="s">
        <v>139</v>
      </c>
      <c r="D4" s="14" t="s">
        <v>140</v>
      </c>
      <c r="E4" s="14" t="s">
        <v>141</v>
      </c>
      <c r="F4" s="14" t="s">
        <v>139</v>
      </c>
      <c r="G4" s="14" t="s">
        <v>140</v>
      </c>
    </row>
    <row r="5" spans="1:7">
      <c r="A5" s="14" t="s">
        <v>143</v>
      </c>
      <c r="B5">
        <v>2000</v>
      </c>
      <c r="C5">
        <v>2000</v>
      </c>
      <c r="D5">
        <v>2200</v>
      </c>
      <c r="E5">
        <v>1924</v>
      </c>
      <c r="F5">
        <v>2122</v>
      </c>
      <c r="G5">
        <v>2154</v>
      </c>
    </row>
    <row r="6" spans="1:7">
      <c r="A6" s="14" t="s">
        <v>144</v>
      </c>
      <c r="B6">
        <v>2500</v>
      </c>
      <c r="C6">
        <v>2600</v>
      </c>
      <c r="D6">
        <v>2700</v>
      </c>
      <c r="E6">
        <v>2542</v>
      </c>
      <c r="F6">
        <v>2654</v>
      </c>
      <c r="G6">
        <v>2675</v>
      </c>
    </row>
    <row r="7" spans="1:7">
      <c r="A7" s="14" t="s">
        <v>145</v>
      </c>
      <c r="B7">
        <v>2200</v>
      </c>
      <c r="C7">
        <v>2400</v>
      </c>
      <c r="D7">
        <v>2500</v>
      </c>
      <c r="E7">
        <v>2341</v>
      </c>
      <c r="F7">
        <v>2485</v>
      </c>
      <c r="G7">
        <v>2547</v>
      </c>
    </row>
    <row r="8" spans="1:7">
      <c r="A8" s="14" t="s">
        <v>146</v>
      </c>
      <c r="B8">
        <v>2000</v>
      </c>
      <c r="C8">
        <v>2100</v>
      </c>
      <c r="D8">
        <v>2300</v>
      </c>
      <c r="E8">
        <v>2102</v>
      </c>
      <c r="F8">
        <v>2234</v>
      </c>
      <c r="G8">
        <v>2395</v>
      </c>
    </row>
    <row r="9" spans="1:7">
      <c r="A9" s="14" t="s">
        <v>147</v>
      </c>
      <c r="B9">
        <v>2400</v>
      </c>
      <c r="C9">
        <v>2300</v>
      </c>
      <c r="D9">
        <v>2400</v>
      </c>
      <c r="E9">
        <v>2310</v>
      </c>
      <c r="F9">
        <v>2395</v>
      </c>
      <c r="G9">
        <v>2547</v>
      </c>
    </row>
    <row r="10" spans="1:7">
      <c r="A10" s="14" t="s">
        <v>148</v>
      </c>
      <c r="B10">
        <v>2500</v>
      </c>
      <c r="C10">
        <v>2400</v>
      </c>
      <c r="D10">
        <v>2400</v>
      </c>
      <c r="E10">
        <v>2341</v>
      </c>
      <c r="F10">
        <v>2371</v>
      </c>
      <c r="G10">
        <v>2385</v>
      </c>
    </row>
    <row r="11" spans="1:7">
      <c r="A11" s="14" t="s">
        <v>149</v>
      </c>
      <c r="B11">
        <v>2500</v>
      </c>
      <c r="C11">
        <v>2600</v>
      </c>
      <c r="D11">
        <v>2700</v>
      </c>
      <c r="E11">
        <v>2599</v>
      </c>
      <c r="F11">
        <v>2687</v>
      </c>
      <c r="G11">
        <v>2491</v>
      </c>
    </row>
    <row r="12" spans="1:7">
      <c r="A12" s="14" t="s">
        <v>150</v>
      </c>
      <c r="B12">
        <v>2200</v>
      </c>
      <c r="C12">
        <v>2300</v>
      </c>
      <c r="D12">
        <v>2300</v>
      </c>
      <c r="E12">
        <v>2314</v>
      </c>
      <c r="F12">
        <v>2267</v>
      </c>
      <c r="G12">
        <v>2485</v>
      </c>
    </row>
    <row r="13" spans="1:7">
      <c r="A13" s="14" t="s">
        <v>151</v>
      </c>
      <c r="B13">
        <v>2000</v>
      </c>
      <c r="C13">
        <v>2200</v>
      </c>
      <c r="D13">
        <v>2200</v>
      </c>
      <c r="E13">
        <v>2146</v>
      </c>
      <c r="F13">
        <v>2179</v>
      </c>
      <c r="G13">
        <v>2317</v>
      </c>
    </row>
    <row r="14" spans="1:7">
      <c r="A14" s="14" t="s">
        <v>152</v>
      </c>
      <c r="B14">
        <v>2400</v>
      </c>
      <c r="C14">
        <v>2400</v>
      </c>
      <c r="D14">
        <v>2500</v>
      </c>
      <c r="E14">
        <v>2376</v>
      </c>
      <c r="F14">
        <v>2468</v>
      </c>
      <c r="G14">
        <v>2495</v>
      </c>
    </row>
    <row r="15" spans="1:7">
      <c r="A15" s="14" t="s">
        <v>142</v>
      </c>
      <c r="B15">
        <f>SUM(B5:B14)</f>
        <v>22700</v>
      </c>
      <c r="C15">
        <f t="shared" ref="C15:G15" si="0">SUM(C5:C14)</f>
        <v>23300</v>
      </c>
      <c r="D15">
        <f t="shared" si="0"/>
        <v>24200</v>
      </c>
      <c r="E15">
        <f t="shared" si="0"/>
        <v>22995</v>
      </c>
      <c r="F15">
        <f t="shared" si="0"/>
        <v>23862</v>
      </c>
      <c r="G15">
        <f t="shared" si="0"/>
        <v>24491</v>
      </c>
    </row>
  </sheetData>
  <mergeCells count="1">
    <mergeCell ref="F2:G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3"/>
  <sheetViews>
    <sheetView workbookViewId="0">
      <selection sqref="A1:G1"/>
    </sheetView>
  </sheetViews>
  <sheetFormatPr defaultRowHeight="16.5"/>
  <cols>
    <col min="4" max="4" width="10.375" bestFit="1" customWidth="1"/>
    <col min="6" max="6" width="10.375" bestFit="1" customWidth="1"/>
  </cols>
  <sheetData>
    <row r="1" spans="1:7" ht="26.25">
      <c r="A1" s="40" t="s">
        <v>277</v>
      </c>
      <c r="B1" s="40"/>
      <c r="C1" s="40"/>
      <c r="D1" s="40"/>
      <c r="E1" s="40"/>
      <c r="F1" s="40"/>
      <c r="G1" s="40"/>
    </row>
    <row r="3" spans="1:7">
      <c r="A3" s="3" t="s">
        <v>249</v>
      </c>
      <c r="B3" s="3" t="s">
        <v>102</v>
      </c>
      <c r="C3" s="3" t="s">
        <v>250</v>
      </c>
      <c r="D3" s="3" t="s">
        <v>251</v>
      </c>
      <c r="E3" s="3" t="s">
        <v>252</v>
      </c>
      <c r="F3" s="3" t="s">
        <v>253</v>
      </c>
      <c r="G3" s="5" t="s">
        <v>254</v>
      </c>
    </row>
    <row r="4" spans="1:7">
      <c r="A4" s="3" t="s">
        <v>255</v>
      </c>
      <c r="B4" s="3" t="s">
        <v>278</v>
      </c>
      <c r="C4" s="3" t="s">
        <v>256</v>
      </c>
      <c r="D4" s="3">
        <v>13</v>
      </c>
      <c r="E4" s="3">
        <v>87</v>
      </c>
      <c r="F4" s="37">
        <v>0.35439814814814818</v>
      </c>
      <c r="G4" s="3" t="s">
        <v>275</v>
      </c>
    </row>
    <row r="5" spans="1:7">
      <c r="A5" s="3" t="s">
        <v>257</v>
      </c>
      <c r="B5" s="3" t="s">
        <v>258</v>
      </c>
      <c r="C5" s="3" t="s">
        <v>259</v>
      </c>
      <c r="D5" s="3">
        <v>5</v>
      </c>
      <c r="E5" s="3">
        <v>94</v>
      </c>
      <c r="F5" s="37">
        <v>0.36498842592592595</v>
      </c>
      <c r="G5" s="3" t="s">
        <v>276</v>
      </c>
    </row>
    <row r="6" spans="1:7">
      <c r="A6" s="3" t="s">
        <v>260</v>
      </c>
      <c r="B6" s="3" t="s">
        <v>261</v>
      </c>
      <c r="C6" s="3" t="s">
        <v>256</v>
      </c>
      <c r="D6" s="3">
        <v>3</v>
      </c>
      <c r="E6" s="3">
        <v>78</v>
      </c>
      <c r="F6" s="37">
        <v>0.33288194444444447</v>
      </c>
      <c r="G6" s="3" t="s">
        <v>275</v>
      </c>
    </row>
    <row r="7" spans="1:7">
      <c r="A7" s="3" t="s">
        <v>262</v>
      </c>
      <c r="B7" s="3" t="s">
        <v>263</v>
      </c>
      <c r="C7" s="3" t="s">
        <v>259</v>
      </c>
      <c r="D7" s="3">
        <v>8</v>
      </c>
      <c r="E7" s="3">
        <v>84</v>
      </c>
      <c r="F7" s="37">
        <v>0.34923611111111108</v>
      </c>
      <c r="G7" s="3" t="s">
        <v>276</v>
      </c>
    </row>
    <row r="8" spans="1:7">
      <c r="A8" s="3" t="s">
        <v>264</v>
      </c>
      <c r="B8" s="3" t="s">
        <v>265</v>
      </c>
      <c r="C8" s="3" t="s">
        <v>266</v>
      </c>
      <c r="D8" s="3">
        <v>12</v>
      </c>
      <c r="E8" s="3">
        <v>78</v>
      </c>
      <c r="F8" s="37">
        <v>0.32332175925925927</v>
      </c>
      <c r="G8" s="3" t="s">
        <v>275</v>
      </c>
    </row>
    <row r="9" spans="1:7">
      <c r="A9" s="3" t="s">
        <v>267</v>
      </c>
      <c r="B9" s="3" t="s">
        <v>268</v>
      </c>
      <c r="C9" s="3" t="s">
        <v>266</v>
      </c>
      <c r="D9" s="3">
        <v>16</v>
      </c>
      <c r="E9" s="3">
        <v>91</v>
      </c>
      <c r="F9" s="37">
        <v>0.3374537037037037</v>
      </c>
      <c r="G9" s="3" t="s">
        <v>275</v>
      </c>
    </row>
    <row r="10" spans="1:7">
      <c r="A10" s="3" t="s">
        <v>269</v>
      </c>
      <c r="B10" s="3" t="s">
        <v>279</v>
      </c>
      <c r="C10" s="3" t="s">
        <v>256</v>
      </c>
      <c r="D10" s="3">
        <v>7</v>
      </c>
      <c r="E10" s="3">
        <v>82</v>
      </c>
      <c r="F10" s="37">
        <v>0.34210648148148143</v>
      </c>
      <c r="G10" s="3" t="s">
        <v>276</v>
      </c>
    </row>
    <row r="11" spans="1:7">
      <c r="A11" s="3" t="s">
        <v>270</v>
      </c>
      <c r="B11" s="3" t="s">
        <v>271</v>
      </c>
      <c r="C11" s="3" t="s">
        <v>259</v>
      </c>
      <c r="D11" s="3">
        <v>20</v>
      </c>
      <c r="E11" s="3">
        <v>79</v>
      </c>
      <c r="F11" s="37">
        <v>0.37164351851851851</v>
      </c>
      <c r="G11" s="3" t="s">
        <v>276</v>
      </c>
    </row>
    <row r="12" spans="1:7">
      <c r="A12" s="3" t="s">
        <v>272</v>
      </c>
      <c r="B12" s="3" t="s">
        <v>280</v>
      </c>
      <c r="C12" s="3" t="s">
        <v>256</v>
      </c>
      <c r="D12" s="3">
        <v>18</v>
      </c>
      <c r="E12" s="3">
        <v>82</v>
      </c>
      <c r="F12" s="37">
        <v>0.33709490740740744</v>
      </c>
      <c r="G12" s="3" t="s">
        <v>275</v>
      </c>
    </row>
    <row r="13" spans="1:7">
      <c r="A13" s="3" t="s">
        <v>273</v>
      </c>
      <c r="B13" s="3" t="s">
        <v>274</v>
      </c>
      <c r="C13" s="3" t="s">
        <v>256</v>
      </c>
      <c r="D13" s="3">
        <v>2</v>
      </c>
      <c r="E13" s="3">
        <v>95</v>
      </c>
      <c r="F13" s="37">
        <v>0.32743055555555556</v>
      </c>
      <c r="G13" s="3" t="s">
        <v>275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6"/>
  <sheetViews>
    <sheetView workbookViewId="0"/>
  </sheetViews>
  <sheetFormatPr defaultRowHeight="16.5"/>
  <cols>
    <col min="1" max="1" width="9.5" bestFit="1" customWidth="1"/>
    <col min="2" max="2" width="11.375" customWidth="1"/>
    <col min="4" max="4" width="10.625" bestFit="1" customWidth="1"/>
    <col min="7" max="7" width="13.125" bestFit="1" customWidth="1"/>
    <col min="12" max="12" width="10.75" bestFit="1" customWidth="1"/>
  </cols>
  <sheetData>
    <row r="1" spans="1:14">
      <c r="A1" s="15" t="s">
        <v>162</v>
      </c>
      <c r="B1" s="16" t="s">
        <v>163</v>
      </c>
      <c r="G1" s="17" t="s">
        <v>164</v>
      </c>
      <c r="H1" s="18" t="s">
        <v>165</v>
      </c>
      <c r="I1" s="19"/>
      <c r="J1" s="19"/>
      <c r="K1" s="19"/>
      <c r="L1" s="19"/>
      <c r="M1" s="19"/>
      <c r="N1" s="19"/>
    </row>
    <row r="2" spans="1:14">
      <c r="A2" s="3" t="s">
        <v>166</v>
      </c>
      <c r="B2" s="3" t="s">
        <v>167</v>
      </c>
      <c r="C2" s="3" t="s">
        <v>168</v>
      </c>
      <c r="D2" s="3" t="s">
        <v>169</v>
      </c>
      <c r="E2" s="20" t="s">
        <v>170</v>
      </c>
      <c r="G2" s="21" t="s">
        <v>171</v>
      </c>
      <c r="H2" s="21" t="s">
        <v>172</v>
      </c>
      <c r="I2" s="21" t="s">
        <v>173</v>
      </c>
      <c r="J2" s="21" t="s">
        <v>174</v>
      </c>
      <c r="K2" s="21" t="s">
        <v>175</v>
      </c>
      <c r="L2" s="21" t="s">
        <v>176</v>
      </c>
      <c r="M2" s="19"/>
      <c r="N2" s="19"/>
    </row>
    <row r="3" spans="1:14">
      <c r="A3" s="3" t="s">
        <v>177</v>
      </c>
      <c r="B3" s="22">
        <v>45691</v>
      </c>
      <c r="C3" s="23">
        <v>259</v>
      </c>
      <c r="D3" s="23">
        <v>1554000</v>
      </c>
      <c r="E3" s="3"/>
      <c r="G3" s="24" t="s">
        <v>178</v>
      </c>
      <c r="H3" s="21" t="s">
        <v>179</v>
      </c>
      <c r="I3" s="25">
        <v>38</v>
      </c>
      <c r="J3" s="26">
        <v>39</v>
      </c>
      <c r="K3" s="26">
        <v>18</v>
      </c>
      <c r="L3" s="26">
        <f t="shared" ref="L3:L10" si="0">SUM(I3:K3)</f>
        <v>95</v>
      </c>
      <c r="M3" s="19"/>
      <c r="N3" s="19"/>
    </row>
    <row r="4" spans="1:14">
      <c r="A4" s="3" t="s">
        <v>180</v>
      </c>
      <c r="B4" s="22">
        <v>45696</v>
      </c>
      <c r="C4" s="23">
        <v>224</v>
      </c>
      <c r="D4" s="23">
        <v>1344000</v>
      </c>
      <c r="E4" s="3"/>
      <c r="G4" s="24" t="s">
        <v>181</v>
      </c>
      <c r="H4" s="21" t="s">
        <v>182</v>
      </c>
      <c r="I4" s="25">
        <v>39</v>
      </c>
      <c r="J4" s="26">
        <v>38</v>
      </c>
      <c r="K4" s="26">
        <v>19</v>
      </c>
      <c r="L4" s="26">
        <f t="shared" si="0"/>
        <v>96</v>
      </c>
      <c r="M4" s="19"/>
      <c r="N4" s="19"/>
    </row>
    <row r="5" spans="1:14">
      <c r="A5" s="3" t="s">
        <v>183</v>
      </c>
      <c r="B5" s="22">
        <v>45701</v>
      </c>
      <c r="C5" s="23">
        <v>190</v>
      </c>
      <c r="D5" s="23">
        <v>950000</v>
      </c>
      <c r="E5" s="3"/>
      <c r="G5" s="24" t="s">
        <v>184</v>
      </c>
      <c r="H5" s="21" t="s">
        <v>185</v>
      </c>
      <c r="I5" s="25">
        <v>37</v>
      </c>
      <c r="J5" s="26">
        <v>36</v>
      </c>
      <c r="K5" s="26">
        <v>20</v>
      </c>
      <c r="L5" s="26">
        <f t="shared" si="0"/>
        <v>93</v>
      </c>
      <c r="M5" s="19"/>
      <c r="N5" s="19"/>
    </row>
    <row r="6" spans="1:14">
      <c r="A6" s="3" t="s">
        <v>186</v>
      </c>
      <c r="B6" s="22">
        <v>45706</v>
      </c>
      <c r="C6" s="23">
        <v>178</v>
      </c>
      <c r="D6" s="23">
        <v>890000</v>
      </c>
      <c r="E6" s="3"/>
      <c r="G6" s="24" t="s">
        <v>187</v>
      </c>
      <c r="H6" s="21" t="s">
        <v>179</v>
      </c>
      <c r="I6" s="25">
        <v>35</v>
      </c>
      <c r="J6" s="26">
        <v>32</v>
      </c>
      <c r="K6" s="26">
        <v>17</v>
      </c>
      <c r="L6" s="26">
        <f t="shared" si="0"/>
        <v>84</v>
      </c>
      <c r="M6" s="19"/>
      <c r="N6" s="19"/>
    </row>
    <row r="7" spans="1:14">
      <c r="A7" s="3" t="s">
        <v>188</v>
      </c>
      <c r="B7" s="22">
        <v>45711</v>
      </c>
      <c r="C7" s="23">
        <v>950</v>
      </c>
      <c r="D7" s="23">
        <v>2850000</v>
      </c>
      <c r="E7" s="3"/>
      <c r="G7" s="24" t="s">
        <v>189</v>
      </c>
      <c r="H7" s="21" t="s">
        <v>182</v>
      </c>
      <c r="I7" s="25">
        <v>36</v>
      </c>
      <c r="J7" s="26">
        <v>39</v>
      </c>
      <c r="K7" s="26">
        <v>16</v>
      </c>
      <c r="L7" s="26">
        <f t="shared" si="0"/>
        <v>91</v>
      </c>
      <c r="M7" s="19"/>
      <c r="N7" s="19"/>
    </row>
    <row r="8" spans="1:14">
      <c r="A8" s="3" t="s">
        <v>190</v>
      </c>
      <c r="B8" s="22">
        <v>45716</v>
      </c>
      <c r="C8" s="23">
        <v>384</v>
      </c>
      <c r="D8" s="23">
        <v>768000</v>
      </c>
      <c r="E8" s="3"/>
      <c r="G8" s="24" t="s">
        <v>191</v>
      </c>
      <c r="H8" s="21" t="s">
        <v>185</v>
      </c>
      <c r="I8" s="25">
        <v>34</v>
      </c>
      <c r="J8" s="26">
        <v>36</v>
      </c>
      <c r="K8" s="26">
        <v>19</v>
      </c>
      <c r="L8" s="26">
        <f t="shared" si="0"/>
        <v>89</v>
      </c>
      <c r="M8" s="19"/>
      <c r="N8" s="19"/>
    </row>
    <row r="9" spans="1:14">
      <c r="A9" s="3" t="s">
        <v>192</v>
      </c>
      <c r="B9" s="22">
        <v>45719</v>
      </c>
      <c r="C9" s="23">
        <v>1220</v>
      </c>
      <c r="D9" s="23">
        <v>1220000</v>
      </c>
      <c r="E9" s="3"/>
      <c r="G9" s="24" t="s">
        <v>193</v>
      </c>
      <c r="H9" s="21" t="s">
        <v>182</v>
      </c>
      <c r="I9" s="25">
        <v>39</v>
      </c>
      <c r="J9" s="26">
        <v>34</v>
      </c>
      <c r="K9" s="26">
        <v>18</v>
      </c>
      <c r="L9" s="26">
        <f t="shared" si="0"/>
        <v>91</v>
      </c>
      <c r="M9" s="19"/>
      <c r="N9" s="27" t="s">
        <v>194</v>
      </c>
    </row>
    <row r="10" spans="1:14">
      <c r="A10" s="3" t="s">
        <v>195</v>
      </c>
      <c r="B10" s="22">
        <v>45724</v>
      </c>
      <c r="C10" s="23">
        <v>95</v>
      </c>
      <c r="D10" s="23">
        <v>855000</v>
      </c>
      <c r="E10" s="3"/>
      <c r="G10" s="24" t="s">
        <v>196</v>
      </c>
      <c r="H10" s="21" t="s">
        <v>179</v>
      </c>
      <c r="I10" s="25">
        <v>40</v>
      </c>
      <c r="J10" s="26">
        <v>39</v>
      </c>
      <c r="K10" s="26">
        <v>19</v>
      </c>
      <c r="L10" s="26">
        <f t="shared" si="0"/>
        <v>98</v>
      </c>
      <c r="M10" s="19"/>
      <c r="N10" s="21"/>
    </row>
    <row r="11" spans="1:14">
      <c r="A11" s="3" t="s">
        <v>197</v>
      </c>
      <c r="B11" s="22">
        <v>45729</v>
      </c>
      <c r="C11" s="23">
        <v>268</v>
      </c>
      <c r="D11" s="23">
        <v>804000</v>
      </c>
      <c r="E11" s="3"/>
      <c r="G11" s="41" t="s">
        <v>198</v>
      </c>
      <c r="H11" s="42"/>
      <c r="I11" s="42"/>
      <c r="J11" s="42"/>
      <c r="K11" s="43"/>
      <c r="L11" s="26"/>
      <c r="M11" s="19"/>
      <c r="N11" s="21"/>
    </row>
    <row r="13" spans="1:14">
      <c r="A13" s="28" t="s">
        <v>199</v>
      </c>
      <c r="B13" s="29" t="s">
        <v>200</v>
      </c>
      <c r="C13" s="30"/>
      <c r="D13" s="30"/>
      <c r="E13" s="30"/>
      <c r="G13" s="15" t="s">
        <v>201</v>
      </c>
      <c r="H13" s="16" t="s">
        <v>202</v>
      </c>
    </row>
    <row r="14" spans="1:14">
      <c r="A14" s="31" t="s">
        <v>203</v>
      </c>
      <c r="B14" s="31" t="s">
        <v>204</v>
      </c>
      <c r="C14" s="31" t="s">
        <v>205</v>
      </c>
      <c r="D14" s="31" t="s">
        <v>206</v>
      </c>
      <c r="E14" s="32" t="s">
        <v>207</v>
      </c>
      <c r="G14" s="3" t="s">
        <v>208</v>
      </c>
      <c r="H14" s="3" t="s">
        <v>209</v>
      </c>
      <c r="I14" s="3" t="s">
        <v>210</v>
      </c>
      <c r="J14" s="3" t="s">
        <v>211</v>
      </c>
      <c r="K14" s="20" t="s">
        <v>212</v>
      </c>
    </row>
    <row r="15" spans="1:14">
      <c r="A15" s="33" t="s">
        <v>213</v>
      </c>
      <c r="B15" s="33">
        <v>95</v>
      </c>
      <c r="C15" s="33">
        <v>70</v>
      </c>
      <c r="D15" s="33">
        <v>45</v>
      </c>
      <c r="E15" s="33"/>
      <c r="G15" s="3" t="s">
        <v>214</v>
      </c>
      <c r="H15" s="34">
        <v>0.3888888888888889</v>
      </c>
      <c r="I15" s="23">
        <v>14100</v>
      </c>
      <c r="J15" s="3">
        <v>2</v>
      </c>
      <c r="K15" s="3"/>
    </row>
    <row r="16" spans="1:14">
      <c r="A16" s="33" t="s">
        <v>215</v>
      </c>
      <c r="B16" s="33">
        <v>95</v>
      </c>
      <c r="C16" s="33">
        <v>90</v>
      </c>
      <c r="D16" s="33">
        <v>95</v>
      </c>
      <c r="E16" s="33"/>
      <c r="G16" s="3" t="s">
        <v>216</v>
      </c>
      <c r="H16" s="34">
        <v>0.43055555555555558</v>
      </c>
      <c r="I16" s="23">
        <v>8400</v>
      </c>
      <c r="J16" s="3">
        <v>4</v>
      </c>
      <c r="K16" s="3"/>
    </row>
    <row r="17" spans="1:11">
      <c r="A17" s="33" t="s">
        <v>217</v>
      </c>
      <c r="B17" s="33">
        <v>65</v>
      </c>
      <c r="C17" s="33">
        <v>85</v>
      </c>
      <c r="D17" s="33">
        <v>65</v>
      </c>
      <c r="E17" s="33"/>
      <c r="G17" s="3" t="s">
        <v>218</v>
      </c>
      <c r="H17" s="34">
        <v>0.47222222222222199</v>
      </c>
      <c r="I17" s="23">
        <v>18500</v>
      </c>
      <c r="J17" s="3">
        <v>5</v>
      </c>
      <c r="K17" s="3"/>
    </row>
    <row r="18" spans="1:11">
      <c r="A18" s="33" t="s">
        <v>219</v>
      </c>
      <c r="B18" s="33">
        <v>50</v>
      </c>
      <c r="C18" s="33">
        <v>75</v>
      </c>
      <c r="D18" s="33">
        <v>85</v>
      </c>
      <c r="E18" s="33"/>
      <c r="G18" s="3" t="s">
        <v>220</v>
      </c>
      <c r="H18" s="34">
        <v>0.51388888888888895</v>
      </c>
      <c r="I18" s="23">
        <v>23700</v>
      </c>
      <c r="J18" s="3">
        <v>3</v>
      </c>
      <c r="K18" s="3"/>
    </row>
    <row r="19" spans="1:11">
      <c r="A19" s="33" t="s">
        <v>221</v>
      </c>
      <c r="B19" s="33">
        <v>75</v>
      </c>
      <c r="C19" s="33">
        <v>65</v>
      </c>
      <c r="D19" s="33">
        <v>85</v>
      </c>
      <c r="E19" s="33"/>
      <c r="G19" s="3" t="s">
        <v>222</v>
      </c>
      <c r="H19" s="34">
        <v>0.55555555555555602</v>
      </c>
      <c r="I19" s="23">
        <v>49300</v>
      </c>
      <c r="J19" s="3">
        <v>3</v>
      </c>
      <c r="K19" s="3"/>
    </row>
    <row r="20" spans="1:11">
      <c r="A20" s="33" t="s">
        <v>223</v>
      </c>
      <c r="B20" s="33">
        <v>95</v>
      </c>
      <c r="C20" s="33">
        <v>80</v>
      </c>
      <c r="D20" s="33">
        <v>55</v>
      </c>
      <c r="E20" s="33"/>
      <c r="G20" s="3" t="s">
        <v>224</v>
      </c>
      <c r="H20" s="34">
        <v>0.59722222222222199</v>
      </c>
      <c r="I20" s="23">
        <v>41300</v>
      </c>
      <c r="J20" s="3">
        <v>1</v>
      </c>
      <c r="K20" s="3"/>
    </row>
    <row r="21" spans="1:11">
      <c r="A21" s="33" t="s">
        <v>225</v>
      </c>
      <c r="B21" s="33">
        <v>85</v>
      </c>
      <c r="C21" s="33">
        <v>55</v>
      </c>
      <c r="D21" s="33">
        <v>75</v>
      </c>
      <c r="E21" s="33"/>
      <c r="G21" s="3" t="s">
        <v>226</v>
      </c>
      <c r="H21" s="34">
        <v>0.63888888888888895</v>
      </c>
      <c r="I21" s="23">
        <v>53500</v>
      </c>
      <c r="J21" s="3">
        <v>5</v>
      </c>
      <c r="K21" s="3"/>
    </row>
    <row r="22" spans="1:11">
      <c r="A22" s="33" t="s">
        <v>227</v>
      </c>
      <c r="B22" s="33">
        <v>55</v>
      </c>
      <c r="C22" s="33">
        <v>65</v>
      </c>
      <c r="D22" s="33">
        <v>75</v>
      </c>
      <c r="E22" s="33"/>
      <c r="G22" s="3" t="s">
        <v>228</v>
      </c>
      <c r="H22" s="34">
        <v>0.68055555555555602</v>
      </c>
      <c r="I22" s="23">
        <v>57700</v>
      </c>
      <c r="J22" s="3">
        <v>9</v>
      </c>
      <c r="K22" s="3"/>
    </row>
    <row r="23" spans="1:11">
      <c r="A23" s="33" t="s">
        <v>229</v>
      </c>
      <c r="B23" s="33">
        <v>65</v>
      </c>
      <c r="C23" s="33">
        <v>85</v>
      </c>
      <c r="D23" s="33">
        <v>85</v>
      </c>
      <c r="E23" s="33"/>
      <c r="G23" s="3" t="s">
        <v>230</v>
      </c>
      <c r="H23" s="34">
        <v>0.72222222222222199</v>
      </c>
      <c r="I23" s="23">
        <v>24800</v>
      </c>
      <c r="J23" s="3">
        <v>3</v>
      </c>
      <c r="K23" s="3"/>
    </row>
    <row r="24" spans="1:11">
      <c r="A24" s="33" t="s">
        <v>231</v>
      </c>
      <c r="B24" s="33">
        <v>40</v>
      </c>
      <c r="C24" s="33">
        <v>55</v>
      </c>
      <c r="D24" s="33">
        <v>75</v>
      </c>
      <c r="E24" s="33"/>
      <c r="G24" s="3" t="s">
        <v>232</v>
      </c>
      <c r="H24" s="34">
        <v>0.76388888888888895</v>
      </c>
      <c r="I24" s="23">
        <v>34800</v>
      </c>
      <c r="J24" s="3">
        <v>7</v>
      </c>
      <c r="K24" s="3"/>
    </row>
    <row r="26" spans="1:11">
      <c r="A26" s="15" t="s">
        <v>233</v>
      </c>
      <c r="B26" s="36" t="s">
        <v>234</v>
      </c>
    </row>
    <row r="27" spans="1:11">
      <c r="A27" s="5" t="s">
        <v>235</v>
      </c>
      <c r="B27" s="5" t="s">
        <v>236</v>
      </c>
      <c r="C27" s="5" t="s">
        <v>237</v>
      </c>
      <c r="D27" s="5" t="s">
        <v>238</v>
      </c>
      <c r="E27" s="20" t="s">
        <v>239</v>
      </c>
    </row>
    <row r="28" spans="1:11">
      <c r="A28" s="35">
        <v>45813</v>
      </c>
      <c r="B28" s="3" t="s">
        <v>240</v>
      </c>
      <c r="C28" s="10">
        <v>45000</v>
      </c>
      <c r="D28" s="10">
        <v>4500</v>
      </c>
      <c r="E28" s="3"/>
    </row>
    <row r="29" spans="1:11">
      <c r="A29" s="35">
        <v>45820</v>
      </c>
      <c r="B29" s="3" t="s">
        <v>241</v>
      </c>
      <c r="C29" s="10">
        <v>45000</v>
      </c>
      <c r="D29" s="10">
        <v>4500</v>
      </c>
      <c r="E29" s="3"/>
    </row>
    <row r="30" spans="1:11">
      <c r="A30" s="35">
        <v>45827</v>
      </c>
      <c r="B30" s="3" t="s">
        <v>242</v>
      </c>
      <c r="C30" s="10">
        <v>35000</v>
      </c>
      <c r="D30" s="10">
        <v>3500</v>
      </c>
      <c r="E30" s="3"/>
    </row>
    <row r="31" spans="1:11">
      <c r="A31" s="35">
        <v>45834</v>
      </c>
      <c r="B31" s="3" t="s">
        <v>243</v>
      </c>
      <c r="C31" s="10">
        <v>40000</v>
      </c>
      <c r="D31" s="10">
        <v>4000</v>
      </c>
      <c r="E31" s="3"/>
    </row>
    <row r="32" spans="1:11">
      <c r="A32" s="35">
        <v>45841</v>
      </c>
      <c r="B32" s="3" t="s">
        <v>244</v>
      </c>
      <c r="C32" s="10">
        <v>35000</v>
      </c>
      <c r="D32" s="10">
        <v>3500</v>
      </c>
      <c r="E32" s="3"/>
    </row>
    <row r="33" spans="1:5">
      <c r="A33" s="35">
        <v>45848</v>
      </c>
      <c r="B33" s="3" t="s">
        <v>245</v>
      </c>
      <c r="C33" s="10">
        <v>40000</v>
      </c>
      <c r="D33" s="10">
        <v>4000</v>
      </c>
      <c r="E33" s="3"/>
    </row>
    <row r="34" spans="1:5">
      <c r="A34" s="35">
        <v>45855</v>
      </c>
      <c r="B34" s="3" t="s">
        <v>246</v>
      </c>
      <c r="C34" s="10">
        <v>45000</v>
      </c>
      <c r="D34" s="10">
        <v>4500</v>
      </c>
      <c r="E34" s="3"/>
    </row>
    <row r="35" spans="1:5">
      <c r="A35" s="35">
        <v>45862</v>
      </c>
      <c r="B35" s="3" t="s">
        <v>247</v>
      </c>
      <c r="C35" s="10">
        <v>45000</v>
      </c>
      <c r="D35" s="10">
        <v>4500</v>
      </c>
      <c r="E35" s="3"/>
    </row>
    <row r="36" spans="1:5">
      <c r="A36" s="35">
        <v>45869</v>
      </c>
      <c r="B36" s="3" t="s">
        <v>248</v>
      </c>
      <c r="C36" s="10">
        <v>30000</v>
      </c>
      <c r="D36" s="10">
        <v>3000</v>
      </c>
      <c r="E36" s="3"/>
    </row>
  </sheetData>
  <mergeCells count="1">
    <mergeCell ref="G11:K1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3"/>
  <sheetViews>
    <sheetView workbookViewId="0"/>
  </sheetViews>
  <sheetFormatPr defaultRowHeight="16.5"/>
  <cols>
    <col min="5" max="5" width="11" bestFit="1" customWidth="1"/>
  </cols>
  <sheetData>
    <row r="1" spans="1:7">
      <c r="A1" t="s">
        <v>155</v>
      </c>
    </row>
    <row r="3" spans="1:7">
      <c r="A3" s="3" t="s">
        <v>42</v>
      </c>
      <c r="B3" s="3" t="s">
        <v>43</v>
      </c>
      <c r="C3" s="3" t="s">
        <v>44</v>
      </c>
      <c r="D3" s="3" t="s">
        <v>45</v>
      </c>
      <c r="E3" s="3" t="s">
        <v>46</v>
      </c>
      <c r="F3" s="3" t="s">
        <v>47</v>
      </c>
      <c r="G3" s="3" t="s">
        <v>48</v>
      </c>
    </row>
    <row r="4" spans="1:7">
      <c r="A4" s="3" t="s">
        <v>49</v>
      </c>
      <c r="B4" s="3" t="s">
        <v>50</v>
      </c>
      <c r="C4" s="3">
        <v>2025.02</v>
      </c>
      <c r="D4" s="3" t="s">
        <v>51</v>
      </c>
      <c r="E4" s="3" t="s">
        <v>52</v>
      </c>
      <c r="F4" s="10">
        <v>5324</v>
      </c>
      <c r="G4" s="10">
        <v>954</v>
      </c>
    </row>
    <row r="5" spans="1:7">
      <c r="A5" s="3" t="s">
        <v>53</v>
      </c>
      <c r="B5" s="3" t="s">
        <v>54</v>
      </c>
      <c r="C5" s="3">
        <v>2025.06</v>
      </c>
      <c r="D5" s="3">
        <v>1074</v>
      </c>
      <c r="E5" s="3" t="s">
        <v>55</v>
      </c>
      <c r="F5" s="10">
        <v>6512</v>
      </c>
      <c r="G5" s="10">
        <v>3520</v>
      </c>
    </row>
    <row r="6" spans="1:7">
      <c r="A6" s="3" t="s">
        <v>56</v>
      </c>
      <c r="B6" s="3" t="s">
        <v>57</v>
      </c>
      <c r="C6" s="3">
        <v>2025.05</v>
      </c>
      <c r="D6" s="3" t="s">
        <v>58</v>
      </c>
      <c r="E6" s="3" t="s">
        <v>59</v>
      </c>
      <c r="F6" s="10">
        <v>1962</v>
      </c>
      <c r="G6" s="10">
        <v>1380</v>
      </c>
    </row>
    <row r="7" spans="1:7">
      <c r="A7" s="3" t="s">
        <v>60</v>
      </c>
      <c r="B7" s="3" t="s">
        <v>61</v>
      </c>
      <c r="C7" s="3">
        <v>2025.05</v>
      </c>
      <c r="D7" s="3" t="s">
        <v>62</v>
      </c>
      <c r="E7" s="3" t="s">
        <v>63</v>
      </c>
      <c r="F7" s="10">
        <v>1235</v>
      </c>
      <c r="G7" s="10">
        <v>325</v>
      </c>
    </row>
    <row r="8" spans="1:7">
      <c r="A8" s="3" t="s">
        <v>49</v>
      </c>
      <c r="B8" s="3" t="s">
        <v>50</v>
      </c>
      <c r="C8" s="3">
        <v>2025.06</v>
      </c>
      <c r="D8" s="3">
        <v>3061</v>
      </c>
      <c r="E8" s="3" t="s">
        <v>64</v>
      </c>
      <c r="F8" s="10">
        <v>1986</v>
      </c>
      <c r="G8" s="10">
        <v>1010</v>
      </c>
    </row>
    <row r="9" spans="1:7">
      <c r="A9" s="3" t="s">
        <v>56</v>
      </c>
      <c r="B9" s="3" t="s">
        <v>57</v>
      </c>
      <c r="C9" s="3">
        <v>2025.03</v>
      </c>
      <c r="D9" s="3" t="s">
        <v>65</v>
      </c>
      <c r="E9" s="3" t="s">
        <v>66</v>
      </c>
      <c r="F9" s="10">
        <v>1594</v>
      </c>
      <c r="G9" s="10">
        <v>899</v>
      </c>
    </row>
    <row r="10" spans="1:7">
      <c r="A10" s="3" t="s">
        <v>67</v>
      </c>
      <c r="B10" s="3" t="s">
        <v>68</v>
      </c>
      <c r="C10" s="3">
        <v>2025.02</v>
      </c>
      <c r="D10" s="3" t="s">
        <v>69</v>
      </c>
      <c r="E10" s="3" t="s">
        <v>70</v>
      </c>
      <c r="F10" s="10">
        <v>5428</v>
      </c>
      <c r="G10" s="10">
        <v>2410</v>
      </c>
    </row>
    <row r="11" spans="1:7">
      <c r="A11" s="3" t="s">
        <v>49</v>
      </c>
      <c r="B11" s="3" t="s">
        <v>50</v>
      </c>
      <c r="C11" s="3">
        <v>2025.04</v>
      </c>
      <c r="D11" s="3" t="s">
        <v>71</v>
      </c>
      <c r="E11" s="3" t="s">
        <v>72</v>
      </c>
      <c r="F11" s="10">
        <v>3856</v>
      </c>
      <c r="G11" s="10">
        <v>842</v>
      </c>
    </row>
    <row r="12" spans="1:7">
      <c r="A12" s="3" t="s">
        <v>60</v>
      </c>
      <c r="B12" s="3" t="s">
        <v>61</v>
      </c>
      <c r="C12" s="3">
        <v>2025.04</v>
      </c>
      <c r="D12" s="3">
        <v>2046</v>
      </c>
      <c r="E12" s="3" t="s">
        <v>73</v>
      </c>
      <c r="F12" s="10">
        <v>1755</v>
      </c>
      <c r="G12" s="10">
        <v>436</v>
      </c>
    </row>
    <row r="13" spans="1:7">
      <c r="A13" s="3" t="s">
        <v>60</v>
      </c>
      <c r="B13" s="3" t="s">
        <v>61</v>
      </c>
      <c r="C13" s="3">
        <v>2025.05</v>
      </c>
      <c r="D13" s="3">
        <v>1086</v>
      </c>
      <c r="E13" s="3" t="s">
        <v>74</v>
      </c>
      <c r="F13" s="10">
        <v>1520</v>
      </c>
      <c r="G13" s="10">
        <v>425</v>
      </c>
    </row>
    <row r="14" spans="1:7">
      <c r="A14" s="3" t="s">
        <v>53</v>
      </c>
      <c r="B14" s="3" t="s">
        <v>54</v>
      </c>
      <c r="C14" s="3">
        <v>2025.06</v>
      </c>
      <c r="D14" s="3">
        <v>3064</v>
      </c>
      <c r="E14" s="3" t="s">
        <v>75</v>
      </c>
      <c r="F14" s="10">
        <v>3874</v>
      </c>
      <c r="G14" s="10">
        <v>1841</v>
      </c>
    </row>
    <row r="15" spans="1:7">
      <c r="A15" s="3" t="s">
        <v>67</v>
      </c>
      <c r="B15" s="3" t="s">
        <v>68</v>
      </c>
      <c r="C15" s="3">
        <v>2025.04</v>
      </c>
      <c r="D15" s="3">
        <v>3042</v>
      </c>
      <c r="E15" s="3" t="s">
        <v>76</v>
      </c>
      <c r="F15" s="10">
        <v>2386</v>
      </c>
      <c r="G15" s="10">
        <v>1164</v>
      </c>
    </row>
    <row r="16" spans="1:7">
      <c r="A16" s="3" t="s">
        <v>49</v>
      </c>
      <c r="B16" s="3" t="s">
        <v>50</v>
      </c>
      <c r="C16" s="3">
        <v>2025.04</v>
      </c>
      <c r="D16" s="3" t="s">
        <v>77</v>
      </c>
      <c r="E16" s="3" t="s">
        <v>78</v>
      </c>
      <c r="F16" s="10">
        <v>4620</v>
      </c>
      <c r="G16" s="10">
        <v>2150</v>
      </c>
    </row>
    <row r="17" spans="1:7">
      <c r="A17" s="3" t="s">
        <v>67</v>
      </c>
      <c r="B17" s="3" t="s">
        <v>68</v>
      </c>
      <c r="C17" s="3">
        <v>2025.03</v>
      </c>
      <c r="D17" s="3">
        <v>1072</v>
      </c>
      <c r="E17" s="3" t="s">
        <v>79</v>
      </c>
      <c r="F17" s="10">
        <v>1103</v>
      </c>
      <c r="G17" s="10">
        <v>557</v>
      </c>
    </row>
    <row r="18" spans="1:7">
      <c r="A18" s="3" t="s">
        <v>49</v>
      </c>
      <c r="B18" s="3" t="s">
        <v>50</v>
      </c>
      <c r="C18" s="3">
        <v>2025.05</v>
      </c>
      <c r="D18" s="3" t="s">
        <v>80</v>
      </c>
      <c r="E18" s="3" t="s">
        <v>81</v>
      </c>
      <c r="F18" s="10">
        <v>2210</v>
      </c>
      <c r="G18" s="10">
        <v>1243</v>
      </c>
    </row>
    <row r="19" spans="1:7">
      <c r="A19" s="3" t="s">
        <v>60</v>
      </c>
      <c r="B19" s="3" t="s">
        <v>61</v>
      </c>
      <c r="C19" s="3">
        <v>2025.04</v>
      </c>
      <c r="D19" s="3">
        <v>3076</v>
      </c>
      <c r="E19" s="3" t="s">
        <v>82</v>
      </c>
      <c r="F19" s="10">
        <v>2263</v>
      </c>
      <c r="G19" s="10">
        <v>1360</v>
      </c>
    </row>
    <row r="20" spans="1:7">
      <c r="A20" s="3" t="s">
        <v>56</v>
      </c>
      <c r="B20" s="3" t="s">
        <v>57</v>
      </c>
      <c r="C20" s="3">
        <v>2025.06</v>
      </c>
      <c r="D20" s="3">
        <v>1065</v>
      </c>
      <c r="E20" s="3" t="s">
        <v>83</v>
      </c>
      <c r="F20" s="10">
        <v>2170</v>
      </c>
      <c r="G20" s="10">
        <v>1207</v>
      </c>
    </row>
    <row r="21" spans="1:7">
      <c r="A21" s="3" t="s">
        <v>53</v>
      </c>
      <c r="B21" s="3" t="s">
        <v>54</v>
      </c>
      <c r="C21" s="3">
        <v>2025.04</v>
      </c>
      <c r="D21" s="3">
        <v>2044</v>
      </c>
      <c r="E21" s="3" t="s">
        <v>84</v>
      </c>
      <c r="F21" s="10">
        <v>2531</v>
      </c>
      <c r="G21" s="10">
        <v>856</v>
      </c>
    </row>
    <row r="22" spans="1:7">
      <c r="A22" s="3" t="s">
        <v>53</v>
      </c>
      <c r="B22" s="3" t="s">
        <v>54</v>
      </c>
      <c r="C22" s="3">
        <v>2025.02</v>
      </c>
      <c r="D22" s="3">
        <v>1084</v>
      </c>
      <c r="E22" s="3" t="s">
        <v>85</v>
      </c>
      <c r="F22" s="10">
        <v>5268</v>
      </c>
      <c r="G22" s="10">
        <v>3210</v>
      </c>
    </row>
    <row r="23" spans="1:7">
      <c r="A23" s="3" t="s">
        <v>49</v>
      </c>
      <c r="B23" s="3" t="s">
        <v>50</v>
      </c>
      <c r="C23" s="3">
        <v>2025.01</v>
      </c>
      <c r="D23" s="3" t="s">
        <v>86</v>
      </c>
      <c r="E23" s="3" t="s">
        <v>87</v>
      </c>
      <c r="F23" s="10">
        <v>1540</v>
      </c>
      <c r="G23" s="10">
        <v>965</v>
      </c>
    </row>
    <row r="24" spans="1:7">
      <c r="A24" s="3" t="s">
        <v>49</v>
      </c>
      <c r="B24" s="3" t="s">
        <v>50</v>
      </c>
      <c r="C24" s="3">
        <v>2025.03</v>
      </c>
      <c r="D24" s="3">
        <v>2031</v>
      </c>
      <c r="E24" s="3" t="s">
        <v>88</v>
      </c>
      <c r="F24" s="10">
        <v>4985</v>
      </c>
      <c r="G24" s="10">
        <v>1240</v>
      </c>
    </row>
    <row r="25" spans="1:7">
      <c r="A25" s="3" t="s">
        <v>67</v>
      </c>
      <c r="B25" s="3" t="s">
        <v>68</v>
      </c>
      <c r="C25" s="3">
        <v>2025.05</v>
      </c>
      <c r="D25" s="3" t="s">
        <v>89</v>
      </c>
      <c r="E25" s="3" t="s">
        <v>90</v>
      </c>
      <c r="F25" s="10">
        <v>3481</v>
      </c>
      <c r="G25" s="10">
        <v>1462</v>
      </c>
    </row>
    <row r="26" spans="1:7">
      <c r="A26" s="3" t="s">
        <v>60</v>
      </c>
      <c r="B26" s="3" t="s">
        <v>61</v>
      </c>
      <c r="C26" s="3">
        <v>2025.06</v>
      </c>
      <c r="D26" s="3" t="s">
        <v>91</v>
      </c>
      <c r="E26" s="3" t="s">
        <v>92</v>
      </c>
      <c r="F26" s="10">
        <v>2654</v>
      </c>
      <c r="G26" s="10">
        <v>1105</v>
      </c>
    </row>
    <row r="27" spans="1:7">
      <c r="A27" s="3" t="s">
        <v>56</v>
      </c>
      <c r="B27" s="3" t="s">
        <v>57</v>
      </c>
      <c r="C27" s="3">
        <v>2025.06</v>
      </c>
      <c r="D27" s="3">
        <v>3075</v>
      </c>
      <c r="E27" s="3" t="s">
        <v>93</v>
      </c>
      <c r="F27" s="10">
        <v>1254</v>
      </c>
      <c r="G27" s="10">
        <v>336</v>
      </c>
    </row>
    <row r="28" spans="1:7">
      <c r="A28" s="3" t="s">
        <v>53</v>
      </c>
      <c r="B28" s="3" t="s">
        <v>54</v>
      </c>
      <c r="C28" s="3">
        <v>2025.05</v>
      </c>
      <c r="D28" s="3" t="s">
        <v>94</v>
      </c>
      <c r="E28" s="3" t="s">
        <v>95</v>
      </c>
      <c r="F28" s="10">
        <v>2620</v>
      </c>
      <c r="G28" s="10">
        <v>1060</v>
      </c>
    </row>
    <row r="29" spans="1:7">
      <c r="A29" s="3" t="s">
        <v>67</v>
      </c>
      <c r="B29" s="3" t="s">
        <v>68</v>
      </c>
      <c r="C29" s="3">
        <v>2025.03</v>
      </c>
      <c r="D29" s="3">
        <v>2032</v>
      </c>
      <c r="E29" s="3" t="s">
        <v>96</v>
      </c>
      <c r="F29" s="10">
        <v>4751</v>
      </c>
      <c r="G29" s="10">
        <v>2150</v>
      </c>
    </row>
    <row r="30" spans="1:7">
      <c r="A30" s="3" t="s">
        <v>67</v>
      </c>
      <c r="B30" s="3" t="s">
        <v>68</v>
      </c>
      <c r="C30" s="3">
        <v>2025.06</v>
      </c>
      <c r="D30" s="3" t="s">
        <v>97</v>
      </c>
      <c r="E30" s="3" t="s">
        <v>98</v>
      </c>
      <c r="F30" s="10">
        <v>1658</v>
      </c>
      <c r="G30" s="10">
        <v>401</v>
      </c>
    </row>
    <row r="31" spans="1:7">
      <c r="A31" s="3" t="s">
        <v>53</v>
      </c>
      <c r="B31" s="3" t="s">
        <v>54</v>
      </c>
      <c r="C31" s="3">
        <v>2025.03</v>
      </c>
      <c r="D31" s="3">
        <v>74034</v>
      </c>
      <c r="E31" s="3" t="s">
        <v>99</v>
      </c>
      <c r="F31" s="10">
        <v>3367</v>
      </c>
      <c r="G31" s="10">
        <v>1548</v>
      </c>
    </row>
    <row r="32" spans="1:7">
      <c r="A32" s="3" t="s">
        <v>56</v>
      </c>
      <c r="B32" s="3" t="s">
        <v>57</v>
      </c>
      <c r="C32" s="3">
        <v>2025.04</v>
      </c>
      <c r="D32" s="3">
        <v>2045</v>
      </c>
      <c r="E32" s="3" t="s">
        <v>100</v>
      </c>
      <c r="F32" s="10">
        <v>2385</v>
      </c>
      <c r="G32" s="10">
        <v>1040</v>
      </c>
    </row>
    <row r="33" spans="1:7">
      <c r="A33" s="3" t="s">
        <v>67</v>
      </c>
      <c r="B33" s="3" t="s">
        <v>68</v>
      </c>
      <c r="C33" s="3">
        <v>2025.06</v>
      </c>
      <c r="D33" s="3">
        <v>47062</v>
      </c>
      <c r="E33" s="3" t="s">
        <v>101</v>
      </c>
      <c r="F33" s="10">
        <v>1128</v>
      </c>
      <c r="G33" s="10">
        <v>898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9"/>
  <sheetViews>
    <sheetView workbookViewId="0"/>
  </sheetViews>
  <sheetFormatPr defaultRowHeight="16.5"/>
  <cols>
    <col min="4" max="4" width="10.25" bestFit="1" customWidth="1"/>
    <col min="5" max="5" width="12.125" customWidth="1"/>
  </cols>
  <sheetData>
    <row r="1" spans="1:7">
      <c r="A1" t="s">
        <v>156</v>
      </c>
    </row>
    <row r="3" spans="1:7">
      <c r="A3" s="5" t="s">
        <v>10</v>
      </c>
      <c r="B3" s="5" t="s">
        <v>11</v>
      </c>
      <c r="C3" s="5" t="s">
        <v>157</v>
      </c>
      <c r="D3" s="5" t="s">
        <v>12</v>
      </c>
      <c r="E3" s="5" t="s">
        <v>37</v>
      </c>
      <c r="F3" s="5" t="s">
        <v>13</v>
      </c>
      <c r="G3" s="5" t="s">
        <v>38</v>
      </c>
    </row>
    <row r="4" spans="1:7">
      <c r="A4" s="5" t="s">
        <v>15</v>
      </c>
      <c r="B4" s="5" t="s">
        <v>158</v>
      </c>
      <c r="C4" s="5" t="s">
        <v>26</v>
      </c>
      <c r="D4" s="5" t="s">
        <v>24</v>
      </c>
      <c r="E4" s="9">
        <v>45783</v>
      </c>
      <c r="F4" s="7">
        <v>8</v>
      </c>
      <c r="G4" s="8">
        <v>23760</v>
      </c>
    </row>
    <row r="5" spans="1:7">
      <c r="A5" s="5" t="s">
        <v>15</v>
      </c>
      <c r="B5" s="5" t="s">
        <v>158</v>
      </c>
      <c r="C5" s="5" t="s">
        <v>34</v>
      </c>
      <c r="D5" s="5" t="s">
        <v>24</v>
      </c>
      <c r="E5" s="9">
        <v>45784</v>
      </c>
      <c r="F5" s="7">
        <v>7</v>
      </c>
      <c r="G5" s="8">
        <v>69300</v>
      </c>
    </row>
    <row r="6" spans="1:7">
      <c r="A6" s="5" t="s">
        <v>15</v>
      </c>
      <c r="B6" s="5" t="s">
        <v>17</v>
      </c>
      <c r="C6" s="6" t="s">
        <v>25</v>
      </c>
      <c r="D6" s="5" t="s">
        <v>24</v>
      </c>
      <c r="E6" s="9">
        <v>45785</v>
      </c>
      <c r="F6" s="7">
        <v>10</v>
      </c>
      <c r="G6" s="8">
        <v>147000</v>
      </c>
    </row>
    <row r="7" spans="1:7">
      <c r="A7" s="5" t="s">
        <v>15</v>
      </c>
      <c r="B7" s="5" t="s">
        <v>159</v>
      </c>
      <c r="C7" s="6" t="s">
        <v>29</v>
      </c>
      <c r="D7" s="5" t="s">
        <v>24</v>
      </c>
      <c r="E7" s="9">
        <v>45785</v>
      </c>
      <c r="F7" s="7">
        <v>12</v>
      </c>
      <c r="G7" s="8">
        <v>174600</v>
      </c>
    </row>
    <row r="8" spans="1:7">
      <c r="A8" s="5" t="s">
        <v>14</v>
      </c>
      <c r="B8" s="5" t="s">
        <v>158</v>
      </c>
      <c r="C8" s="6" t="s">
        <v>30</v>
      </c>
      <c r="D8" s="5" t="s">
        <v>28</v>
      </c>
      <c r="E8" s="9">
        <v>45787</v>
      </c>
      <c r="F8" s="7">
        <v>19</v>
      </c>
      <c r="G8" s="8">
        <v>65960</v>
      </c>
    </row>
    <row r="9" spans="1:7">
      <c r="A9" s="5" t="s">
        <v>14</v>
      </c>
      <c r="B9" s="5" t="s">
        <v>17</v>
      </c>
      <c r="C9" s="6" t="s">
        <v>40</v>
      </c>
      <c r="D9" s="5" t="s">
        <v>28</v>
      </c>
      <c r="E9" s="9">
        <v>45789</v>
      </c>
      <c r="F9" s="7">
        <v>27</v>
      </c>
      <c r="G9" s="8">
        <v>130950</v>
      </c>
    </row>
    <row r="10" spans="1:7">
      <c r="A10" s="5" t="s">
        <v>14</v>
      </c>
      <c r="B10" s="5" t="s">
        <v>17</v>
      </c>
      <c r="C10" s="5" t="s">
        <v>160</v>
      </c>
      <c r="D10" s="5" t="s">
        <v>28</v>
      </c>
      <c r="E10" s="9">
        <v>45789</v>
      </c>
      <c r="F10" s="7">
        <v>23</v>
      </c>
      <c r="G10" s="8">
        <v>111550</v>
      </c>
    </row>
    <row r="11" spans="1:7">
      <c r="A11" s="5" t="s">
        <v>15</v>
      </c>
      <c r="B11" s="5" t="s">
        <v>17</v>
      </c>
      <c r="C11" s="5" t="s">
        <v>36</v>
      </c>
      <c r="D11" s="5" t="s">
        <v>16</v>
      </c>
      <c r="E11" s="9">
        <v>45789</v>
      </c>
      <c r="F11" s="7">
        <v>31</v>
      </c>
      <c r="G11" s="8">
        <v>150350</v>
      </c>
    </row>
    <row r="12" spans="1:7">
      <c r="A12" s="5" t="s">
        <v>15</v>
      </c>
      <c r="B12" s="5" t="s">
        <v>17</v>
      </c>
      <c r="C12" s="6" t="s">
        <v>20</v>
      </c>
      <c r="D12" s="5" t="s">
        <v>16</v>
      </c>
      <c r="E12" s="9">
        <v>45790</v>
      </c>
      <c r="F12" s="7">
        <v>19</v>
      </c>
      <c r="G12" s="8">
        <v>44100</v>
      </c>
    </row>
    <row r="13" spans="1:7">
      <c r="A13" s="5" t="s">
        <v>14</v>
      </c>
      <c r="B13" s="5" t="s">
        <v>17</v>
      </c>
      <c r="C13" s="5" t="s">
        <v>27</v>
      </c>
      <c r="D13" s="5" t="s">
        <v>28</v>
      </c>
      <c r="E13" s="9">
        <v>45792</v>
      </c>
      <c r="F13" s="7">
        <v>9</v>
      </c>
      <c r="G13" s="8">
        <v>132300</v>
      </c>
    </row>
    <row r="14" spans="1:7">
      <c r="A14" s="5" t="s">
        <v>15</v>
      </c>
      <c r="B14" s="5" t="s">
        <v>158</v>
      </c>
      <c r="C14" s="5" t="s">
        <v>35</v>
      </c>
      <c r="D14" s="5" t="s">
        <v>21</v>
      </c>
      <c r="E14" s="9">
        <v>45797</v>
      </c>
      <c r="F14" s="7">
        <v>22</v>
      </c>
      <c r="G14" s="8">
        <v>64020</v>
      </c>
    </row>
    <row r="15" spans="1:7">
      <c r="A15" s="5" t="s">
        <v>14</v>
      </c>
      <c r="B15" s="5" t="s">
        <v>17</v>
      </c>
      <c r="C15" s="5" t="s">
        <v>18</v>
      </c>
      <c r="D15" s="5" t="s">
        <v>19</v>
      </c>
      <c r="E15" s="9">
        <v>45798</v>
      </c>
      <c r="F15" s="7">
        <v>9</v>
      </c>
      <c r="G15" s="8">
        <v>89100</v>
      </c>
    </row>
    <row r="16" spans="1:7">
      <c r="A16" s="5" t="s">
        <v>15</v>
      </c>
      <c r="B16" s="5" t="s">
        <v>22</v>
      </c>
      <c r="C16" s="5" t="s">
        <v>23</v>
      </c>
      <c r="D16" s="5" t="s">
        <v>21</v>
      </c>
      <c r="E16" s="9">
        <v>45799</v>
      </c>
      <c r="F16" s="7">
        <v>11</v>
      </c>
      <c r="G16" s="8">
        <v>147000</v>
      </c>
    </row>
    <row r="17" spans="1:7">
      <c r="A17" s="5" t="s">
        <v>14</v>
      </c>
      <c r="B17" s="5" t="s">
        <v>158</v>
      </c>
      <c r="C17" s="5" t="s">
        <v>41</v>
      </c>
      <c r="D17" s="5" t="s">
        <v>33</v>
      </c>
      <c r="E17" s="9">
        <v>45800</v>
      </c>
      <c r="F17" s="7">
        <v>19</v>
      </c>
      <c r="G17" s="8">
        <v>107520</v>
      </c>
    </row>
    <row r="18" spans="1:7">
      <c r="A18" s="5" t="s">
        <v>15</v>
      </c>
      <c r="B18" s="5" t="s">
        <v>17</v>
      </c>
      <c r="C18" s="6" t="s">
        <v>31</v>
      </c>
      <c r="D18" s="5" t="s">
        <v>32</v>
      </c>
      <c r="E18" s="9">
        <v>45800</v>
      </c>
      <c r="F18" s="7">
        <v>23</v>
      </c>
      <c r="G18" s="8">
        <v>152950</v>
      </c>
    </row>
    <row r="19" spans="1:7">
      <c r="A19" s="5" t="s">
        <v>14</v>
      </c>
      <c r="B19" s="5" t="s">
        <v>22</v>
      </c>
      <c r="C19" s="6" t="s">
        <v>39</v>
      </c>
      <c r="D19" s="5" t="s">
        <v>33</v>
      </c>
      <c r="E19" s="9">
        <v>45806</v>
      </c>
      <c r="F19" s="7">
        <v>16</v>
      </c>
      <c r="G19" s="8">
        <v>232800</v>
      </c>
    </row>
  </sheetData>
  <phoneticPr fontId="1" type="noConversion"/>
  <conditionalFormatting sqref="E4:E19">
    <cfRule type="expression" dxfId="0" priority="1">
      <formula>WEKDAY($F4,2)&gt;=6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E17"/>
  <sheetViews>
    <sheetView workbookViewId="0"/>
  </sheetViews>
  <sheetFormatPr defaultRowHeight="16.5"/>
  <cols>
    <col min="2" max="2" width="14.125" customWidth="1"/>
    <col min="3" max="3" width="14.875" customWidth="1"/>
    <col min="4" max="5" width="10.375" bestFit="1" customWidth="1"/>
  </cols>
  <sheetData>
    <row r="2" spans="1:5">
      <c r="A2" s="11" t="s">
        <v>102</v>
      </c>
      <c r="B2" s="11" t="s">
        <v>103</v>
      </c>
      <c r="C2" s="11" t="s">
        <v>104</v>
      </c>
      <c r="D2" s="11" t="s">
        <v>105</v>
      </c>
      <c r="E2" s="11" t="s">
        <v>106</v>
      </c>
    </row>
    <row r="3" spans="1:5">
      <c r="A3" s="11" t="s">
        <v>107</v>
      </c>
      <c r="B3" s="12">
        <v>3202</v>
      </c>
      <c r="C3" s="11" t="s">
        <v>108</v>
      </c>
      <c r="D3" s="13">
        <v>1200</v>
      </c>
      <c r="E3" s="13">
        <v>20</v>
      </c>
    </row>
    <row r="4" spans="1:5">
      <c r="A4" s="11" t="s">
        <v>109</v>
      </c>
      <c r="B4" s="12">
        <v>31105</v>
      </c>
      <c r="C4" s="11" t="s">
        <v>110</v>
      </c>
      <c r="D4" s="13">
        <v>350</v>
      </c>
      <c r="E4" s="13">
        <v>30</v>
      </c>
    </row>
    <row r="5" spans="1:5">
      <c r="A5" s="11" t="s">
        <v>111</v>
      </c>
      <c r="B5" s="12">
        <v>3105</v>
      </c>
      <c r="C5" s="11" t="s">
        <v>112</v>
      </c>
      <c r="D5" s="13">
        <v>100</v>
      </c>
      <c r="E5" s="13">
        <v>50</v>
      </c>
    </row>
    <row r="6" spans="1:5">
      <c r="A6" s="11" t="s">
        <v>113</v>
      </c>
      <c r="B6" s="12">
        <v>3702</v>
      </c>
      <c r="C6" s="11" t="s">
        <v>114</v>
      </c>
      <c r="D6" s="13">
        <v>1150</v>
      </c>
      <c r="E6" s="13">
        <v>35</v>
      </c>
    </row>
    <row r="7" spans="1:5">
      <c r="A7" s="11" t="s">
        <v>115</v>
      </c>
      <c r="B7" s="12">
        <v>31203</v>
      </c>
      <c r="C7" s="11" t="s">
        <v>116</v>
      </c>
      <c r="D7" s="13">
        <v>852</v>
      </c>
      <c r="E7" s="13">
        <v>42</v>
      </c>
    </row>
    <row r="8" spans="1:5">
      <c r="A8" s="11" t="s">
        <v>117</v>
      </c>
      <c r="B8" s="12">
        <v>31401</v>
      </c>
      <c r="C8" s="11" t="s">
        <v>118</v>
      </c>
      <c r="D8" s="13">
        <v>510</v>
      </c>
      <c r="E8" s="13">
        <v>31</v>
      </c>
    </row>
    <row r="9" spans="1:5">
      <c r="A9" s="11" t="s">
        <v>119</v>
      </c>
      <c r="B9" s="12">
        <v>31506</v>
      </c>
      <c r="C9" s="11" t="s">
        <v>120</v>
      </c>
      <c r="D9" s="13">
        <v>380</v>
      </c>
      <c r="E9" s="13">
        <v>28</v>
      </c>
    </row>
    <row r="10" spans="1:5">
      <c r="A10" s="11" t="s">
        <v>121</v>
      </c>
      <c r="B10" s="12">
        <v>3904</v>
      </c>
      <c r="C10" s="11" t="s">
        <v>122</v>
      </c>
      <c r="D10" s="13">
        <v>120</v>
      </c>
      <c r="E10" s="13">
        <v>18</v>
      </c>
    </row>
    <row r="11" spans="1:5">
      <c r="A11" s="11" t="s">
        <v>123</v>
      </c>
      <c r="B11" s="12">
        <v>5101</v>
      </c>
      <c r="C11" s="11" t="s">
        <v>124</v>
      </c>
      <c r="D11" s="13">
        <v>1050</v>
      </c>
      <c r="E11" s="13">
        <v>15</v>
      </c>
    </row>
    <row r="12" spans="1:5">
      <c r="A12" s="11" t="s">
        <v>125</v>
      </c>
      <c r="B12" s="12">
        <v>51101</v>
      </c>
      <c r="C12" s="11" t="s">
        <v>126</v>
      </c>
      <c r="D12" s="13">
        <v>452</v>
      </c>
      <c r="E12" s="13">
        <v>24</v>
      </c>
    </row>
    <row r="13" spans="1:5">
      <c r="A13" s="11" t="s">
        <v>127</v>
      </c>
      <c r="B13" s="12">
        <v>51302</v>
      </c>
      <c r="C13" s="11" t="s">
        <v>128</v>
      </c>
      <c r="D13" s="13">
        <v>112</v>
      </c>
      <c r="E13" s="13">
        <v>22</v>
      </c>
    </row>
    <row r="14" spans="1:5">
      <c r="A14" s="11" t="s">
        <v>129</v>
      </c>
      <c r="B14" s="12">
        <v>5202</v>
      </c>
      <c r="C14" s="11" t="s">
        <v>130</v>
      </c>
      <c r="D14" s="13">
        <v>698</v>
      </c>
      <c r="E14" s="13">
        <v>37</v>
      </c>
    </row>
    <row r="15" spans="1:5">
      <c r="A15" s="11" t="s">
        <v>131</v>
      </c>
      <c r="B15" s="12">
        <v>5404</v>
      </c>
      <c r="C15" s="11" t="s">
        <v>132</v>
      </c>
      <c r="D15" s="13">
        <v>1010</v>
      </c>
      <c r="E15" s="13">
        <v>36</v>
      </c>
    </row>
    <row r="16" spans="1:5">
      <c r="A16" s="11" t="s">
        <v>133</v>
      </c>
      <c r="B16" s="12">
        <v>51503</v>
      </c>
      <c r="C16" s="11" t="s">
        <v>134</v>
      </c>
      <c r="D16" s="13">
        <v>950</v>
      </c>
      <c r="E16" s="13">
        <v>16</v>
      </c>
    </row>
    <row r="17" spans="1:3">
      <c r="A17" s="39" t="s">
        <v>161</v>
      </c>
      <c r="B17" s="39"/>
      <c r="C17" s="39"/>
    </row>
  </sheetData>
  <mergeCells count="1">
    <mergeCell ref="A17:C17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D8"/>
  <sheetViews>
    <sheetView workbookViewId="0"/>
  </sheetViews>
  <sheetFormatPr defaultRowHeight="16.5"/>
  <sheetData>
    <row r="2" spans="2:4">
      <c r="B2" t="s">
        <v>1</v>
      </c>
    </row>
    <row r="3" spans="2:4">
      <c r="B3" s="2" t="s">
        <v>2</v>
      </c>
      <c r="C3" s="2" t="s">
        <v>3</v>
      </c>
      <c r="D3" s="2" t="s">
        <v>4</v>
      </c>
    </row>
    <row r="4" spans="2:4">
      <c r="B4" s="3" t="s">
        <v>5</v>
      </c>
      <c r="C4" s="4">
        <v>15</v>
      </c>
      <c r="D4" s="4">
        <v>139780</v>
      </c>
    </row>
    <row r="5" spans="2:4">
      <c r="B5" s="3" t="s">
        <v>6</v>
      </c>
      <c r="C5" s="4">
        <v>20</v>
      </c>
      <c r="D5" s="4">
        <v>291500</v>
      </c>
    </row>
    <row r="6" spans="2:4">
      <c r="B6" s="3" t="s">
        <v>7</v>
      </c>
      <c r="C6" s="4">
        <v>45</v>
      </c>
      <c r="D6" s="4">
        <v>325000</v>
      </c>
    </row>
    <row r="7" spans="2:4">
      <c r="B7" s="3" t="s">
        <v>8</v>
      </c>
      <c r="C7" s="4">
        <v>18</v>
      </c>
      <c r="D7" s="4">
        <v>178540</v>
      </c>
    </row>
    <row r="8" spans="2:4">
      <c r="B8" s="3" t="s">
        <v>9</v>
      </c>
      <c r="C8" s="4">
        <v>31</v>
      </c>
      <c r="D8" s="4">
        <v>213700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2024-01-18T13:10:28Z</dcterms:modified>
</cp:coreProperties>
</file>