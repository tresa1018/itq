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30513782-B1C6-4BE7-B9F8-97C968FE1AC8}" xr6:coauthVersionLast="47" xr6:coauthVersionMax="47" xr10:uidLastSave="{00000000-0000-0000-0000-000000000000}"/>
  <bookViews>
    <workbookView xWindow="3675" yWindow="1200" windowWidth="16800" windowHeight="1380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9" r:id="rId5"/>
    <sheet name="분석작업-2" sheetId="6" r:id="rId6"/>
    <sheet name="매크로작업" sheetId="7" r:id="rId7"/>
    <sheet name="차트작업" sheetId="8" r:id="rId8"/>
  </sheets>
  <definedNames>
    <definedName name="거래처" localSheetId="2">'기본작업-3'!$A$3:$F$11</definedName>
    <definedName name="불량률">'기본작업-2'!$D$4:$D$12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4" l="1"/>
  <c r="M5" i="4"/>
  <c r="M6" i="4"/>
  <c r="M7" i="4"/>
  <c r="M8" i="4"/>
  <c r="M9" i="4"/>
  <c r="M10" i="4"/>
  <c r="M11" i="4"/>
  <c r="M12" i="4"/>
  <c r="M3" i="4"/>
  <c r="L5" i="4"/>
  <c r="C42" i="4" l="1"/>
  <c r="K26" i="4"/>
  <c r="K25" i="4"/>
  <c r="E25" i="4"/>
  <c r="K24" i="4"/>
  <c r="E24" i="4"/>
  <c r="K23" i="4"/>
  <c r="E23" i="4"/>
  <c r="K22" i="4"/>
  <c r="E22" i="4"/>
  <c r="K21" i="4"/>
  <c r="E21" i="4"/>
  <c r="K20" i="4"/>
  <c r="E20" i="4"/>
  <c r="K19" i="4"/>
  <c r="E19" i="4"/>
  <c r="K18" i="4"/>
  <c r="E18" i="4"/>
  <c r="K17" i="4"/>
  <c r="E17" i="4"/>
  <c r="F13" i="4"/>
  <c r="L12" i="4"/>
  <c r="F12" i="4"/>
  <c r="L11" i="4"/>
  <c r="F11" i="4"/>
  <c r="L10" i="4"/>
  <c r="F10" i="4"/>
  <c r="L9" i="4"/>
  <c r="F9" i="4"/>
  <c r="L8" i="4"/>
  <c r="F8" i="4"/>
  <c r="L7" i="4"/>
  <c r="F7" i="4"/>
  <c r="L6" i="4"/>
  <c r="F6" i="4"/>
  <c r="F5" i="4"/>
  <c r="L4" i="4"/>
  <c r="F4" i="4"/>
  <c r="L3" i="4"/>
  <c r="H9" i="6" l="1"/>
  <c r="I9" i="6"/>
  <c r="H13" i="6" l="1"/>
  <c r="I13" i="6" s="1"/>
  <c r="H12" i="6"/>
  <c r="I12" i="6" s="1"/>
  <c r="H11" i="6"/>
  <c r="I11" i="6" s="1"/>
  <c r="H10" i="6"/>
  <c r="I10" i="6" s="1"/>
  <c r="H8" i="6"/>
  <c r="I8" i="6" s="1"/>
  <c r="H7" i="6"/>
  <c r="I7" i="6" s="1"/>
  <c r="H6" i="6"/>
  <c r="I6" i="6" s="1"/>
  <c r="H5" i="6"/>
  <c r="I5" i="6" s="1"/>
  <c r="H4" i="6"/>
  <c r="I4" i="6" s="1"/>
  <c r="H14" i="6" l="1"/>
  <c r="I14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거래처" type="6" refreshedVersion="6" background="1" saveData="1">
    <textPr codePage="949" sourceFile="E:\영진(2022년)\기출예상문제집\2급\2급1회\거래처.txt">
      <textFields count="7">
        <textField/>
        <textField type="skip"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<sst xmlns="http://schemas.openxmlformats.org/spreadsheetml/2006/main" count="425" uniqueCount="319">
  <si>
    <t>구분</t>
  </si>
  <si>
    <t>2021년</t>
    <phoneticPr fontId="1" type="noConversion"/>
  </si>
  <si>
    <t>2022년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</si>
  <si>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</si>
  <si>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</si>
  <si>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</si>
  <si>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전자제품 판매현황</t>
    <phoneticPr fontId="6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</si>
  <si>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</si>
  <si>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</si>
  <si>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</si>
  <si>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</si>
  <si>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</si>
  <si>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</si>
  <si>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</si>
  <si>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</si>
  <si>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</si>
  <si>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</si>
  <si>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</si>
  <si>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복합기</t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</si>
  <si>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</si>
  <si>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</si>
  <si>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</si>
  <si>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</si>
  <si>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부산</t>
    <phoneticPr fontId="1" type="noConversion"/>
  </si>
  <si>
    <t>문지섭</t>
    <phoneticPr fontId="1" type="noConversion"/>
  </si>
  <si>
    <t>노트북</t>
    <phoneticPr fontId="1" type="noConversion"/>
  </si>
  <si>
    <t>강원</t>
    <phoneticPr fontId="1" type="noConversion"/>
  </si>
  <si>
    <t>박세균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</si>
  <si>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</si>
  <si>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</si>
  <si>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</si>
  <si>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</si>
  <si>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</si>
  <si>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</si>
  <si>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</si>
  <si>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</si>
  <si>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</si>
  <si>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</si>
  <si>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</si>
  <si>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</si>
  <si>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</si>
  <si>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</si>
  <si>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</si>
  <si>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매매</t>
    <phoneticPr fontId="1" type="noConversion"/>
  </si>
  <si>
    <t>안양시</t>
    <phoneticPr fontId="1" type="noConversion"/>
  </si>
  <si>
    <t>서명</t>
  </si>
  <si>
    <t>저자</t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</si>
  <si>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</si>
  <si>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</si>
  <si>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</si>
  <si>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</si>
  <si>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</si>
  <si>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</si>
  <si>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</si>
  <si>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</si>
  <si>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</si>
  <si>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</si>
  <si>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</si>
  <si>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</si>
  <si>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</si>
  <si>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</si>
  <si>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</si>
  <si>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</si>
  <si>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</si>
  <si>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</si>
  <si>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</si>
  <si>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</si>
  <si>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</si>
  <si>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</si>
  <si>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</si>
  <si>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</si>
  <si>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</si>
  <si>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</si>
  <si>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</si>
  <si>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</si>
  <si>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</si>
  <si>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</si>
  <si>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출판년도</t>
    <phoneticPr fontId="1" type="noConversion"/>
  </si>
  <si>
    <t>제품명</t>
  </si>
  <si>
    <t>앱솔루트 에센셜오일 티트리</t>
    <phoneticPr fontId="1" type="noConversion"/>
  </si>
  <si>
    <t>제조국</t>
    <phoneticPr fontId="1" type="noConversion"/>
  </si>
  <si>
    <t>원료산지</t>
    <phoneticPr fontId="1" type="noConversion"/>
  </si>
  <si>
    <t>영국</t>
    <phoneticPr fontId="1" type="noConversion"/>
  </si>
  <si>
    <t>호주</t>
    <phoneticPr fontId="1" type="noConversion"/>
  </si>
  <si>
    <t>추출부위</t>
    <phoneticPr fontId="1" type="noConversion"/>
  </si>
  <si>
    <t>잎, 줄기</t>
    <phoneticPr fontId="1" type="noConversion"/>
  </si>
  <si>
    <t>추출방법</t>
    <phoneticPr fontId="1" type="noConversion"/>
  </si>
  <si>
    <t>수증기 증류법</t>
    <phoneticPr fontId="1" type="noConversion"/>
  </si>
  <si>
    <t>가격</t>
    <phoneticPr fontId="1" type="noConversion"/>
  </si>
  <si>
    <t>용량</t>
    <phoneticPr fontId="1" type="noConversion"/>
  </si>
  <si>
    <t>10ml</t>
    <phoneticPr fontId="1" type="noConversion"/>
  </si>
  <si>
    <t>불가리아 클림텍 오렌지 스위트</t>
    <phoneticPr fontId="1" type="noConversion"/>
  </si>
  <si>
    <t>과일껍질</t>
    <phoneticPr fontId="1" type="noConversion"/>
  </si>
  <si>
    <t>냉압착법</t>
    <phoneticPr fontId="1" type="noConversion"/>
  </si>
  <si>
    <t>불가리아</t>
    <phoneticPr fontId="1" type="noConversion"/>
  </si>
  <si>
    <t>그리스</t>
    <phoneticPr fontId="1" type="noConversion"/>
  </si>
  <si>
    <t>30ml</t>
    <phoneticPr fontId="1" type="noConversion"/>
  </si>
  <si>
    <t>불가리아 클림텍 페퍼민트</t>
    <phoneticPr fontId="1" type="noConversion"/>
  </si>
  <si>
    <t>잎</t>
    <phoneticPr fontId="1" type="noConversion"/>
  </si>
  <si>
    <t>불가리아</t>
    <phoneticPr fontId="1" type="noConversion"/>
  </si>
  <si>
    <t>100ml</t>
    <phoneticPr fontId="1" type="noConversion"/>
  </si>
  <si>
    <t>데일리더즌 캐리어 오일 호호바골든</t>
    <phoneticPr fontId="1" type="noConversion"/>
  </si>
  <si>
    <t>열매</t>
    <phoneticPr fontId="1" type="noConversion"/>
  </si>
  <si>
    <t>냉압착법</t>
    <phoneticPr fontId="1" type="noConversion"/>
  </si>
  <si>
    <t>독일/이스라엘</t>
    <phoneticPr fontId="1" type="noConversion"/>
  </si>
  <si>
    <t>데일리더즌 에센셜오일 라벤터</t>
    <phoneticPr fontId="1" type="noConversion"/>
  </si>
  <si>
    <t>꽃봉우리</t>
    <phoneticPr fontId="1" type="noConversion"/>
  </si>
  <si>
    <t>수증기 증류법</t>
    <phoneticPr fontId="1" type="noConversion"/>
  </si>
  <si>
    <t>한국</t>
    <phoneticPr fontId="1" type="noConversion"/>
  </si>
  <si>
    <t>스페인</t>
    <phoneticPr fontId="1" type="noConversion"/>
  </si>
  <si>
    <t>한국</t>
    <phoneticPr fontId="1" type="noConversion"/>
  </si>
  <si>
    <t>불가리아 클림텍 카모마일 저먼</t>
    <phoneticPr fontId="1" type="noConversion"/>
  </si>
  <si>
    <t>5ml</t>
    <phoneticPr fontId="1" type="noConversion"/>
  </si>
  <si>
    <t>꽃</t>
    <phoneticPr fontId="1" type="noConversion"/>
  </si>
  <si>
    <t>꽃</t>
    <phoneticPr fontId="1" type="noConversion"/>
  </si>
  <si>
    <t>독일</t>
    <phoneticPr fontId="1" type="noConversion"/>
  </si>
  <si>
    <t>일랑일랑 꽃 오일</t>
    <phoneticPr fontId="1" type="noConversion"/>
  </si>
  <si>
    <t>독일</t>
    <phoneticPr fontId="1" type="noConversion"/>
  </si>
  <si>
    <t>아로마 오일(AROMA OIL)</t>
    <phoneticPr fontId="1" type="noConversion"/>
  </si>
  <si>
    <t>바이오 &amp; 바이오 캐리어 오일 로즈힙</t>
    <phoneticPr fontId="1" type="noConversion"/>
  </si>
  <si>
    <t>씨</t>
    <phoneticPr fontId="1" type="noConversion"/>
  </si>
  <si>
    <t>냉압착식</t>
    <phoneticPr fontId="1" type="noConversion"/>
  </si>
  <si>
    <t>국내</t>
    <phoneticPr fontId="1" type="noConversion"/>
  </si>
  <si>
    <t>안데스 지역(주로 칠레와 페루)</t>
    <phoneticPr fontId="1" type="noConversion"/>
  </si>
  <si>
    <t>1000ml</t>
    <phoneticPr fontId="1" type="noConversion"/>
  </si>
  <si>
    <t>월별</t>
    <phoneticPr fontId="1" type="noConversion"/>
  </si>
  <si>
    <t>상품명</t>
    <phoneticPr fontId="1" type="noConversion"/>
  </si>
  <si>
    <t>생산량</t>
    <phoneticPr fontId="1" type="noConversion"/>
  </si>
  <si>
    <t>불량률</t>
    <phoneticPr fontId="1" type="noConversion"/>
  </si>
  <si>
    <t>재고량</t>
    <phoneticPr fontId="1" type="noConversion"/>
  </si>
  <si>
    <t>총보유량</t>
    <phoneticPr fontId="1" type="noConversion"/>
  </si>
  <si>
    <t>생산단가</t>
    <phoneticPr fontId="1" type="noConversion"/>
  </si>
  <si>
    <t>선호도</t>
    <phoneticPr fontId="1" type="noConversion"/>
  </si>
  <si>
    <t>GW-004</t>
  </si>
  <si>
    <t>TA-005</t>
  </si>
  <si>
    <t>합  계</t>
    <phoneticPr fontId="6" type="noConversion"/>
  </si>
  <si>
    <t>4월</t>
    <phoneticPr fontId="6" type="noConversion"/>
  </si>
  <si>
    <t>5월</t>
    <phoneticPr fontId="6" type="noConversion"/>
  </si>
  <si>
    <t>6월</t>
    <phoneticPr fontId="6" type="noConversion"/>
  </si>
  <si>
    <t>TP-001</t>
  </si>
  <si>
    <t>YB-002</t>
  </si>
  <si>
    <t>SK-003</t>
  </si>
  <si>
    <t>공기청정기 생산현황</t>
    <phoneticPr fontId="1" type="noConversion"/>
  </si>
  <si>
    <t>경기도 아파트 거래 현황</t>
    <phoneticPr fontId="1" type="noConversion"/>
  </si>
  <si>
    <t>아파트명</t>
    <phoneticPr fontId="1" type="noConversion"/>
  </si>
  <si>
    <t>거래종류</t>
    <phoneticPr fontId="1" type="noConversion"/>
  </si>
  <si>
    <t>층수</t>
    <phoneticPr fontId="1" type="noConversion"/>
  </si>
  <si>
    <t>대형</t>
    <phoneticPr fontId="1" type="noConversion"/>
  </si>
  <si>
    <t>소형</t>
    <phoneticPr fontId="1" type="noConversion"/>
  </si>
  <si>
    <t>남양주시</t>
    <phoneticPr fontId="1" type="noConversion"/>
  </si>
  <si>
    <t>전세</t>
    <phoneticPr fontId="1" type="noConversion"/>
  </si>
  <si>
    <t>I-PARK</t>
    <phoneticPr fontId="1" type="noConversion"/>
  </si>
  <si>
    <t>구리시</t>
    <phoneticPr fontId="1" type="noConversion"/>
  </si>
  <si>
    <t>군포시</t>
    <phoneticPr fontId="1" type="noConversion"/>
  </si>
  <si>
    <t>매매</t>
    <phoneticPr fontId="1" type="noConversion"/>
  </si>
  <si>
    <t>중형</t>
    <phoneticPr fontId="1" type="noConversion"/>
  </si>
  <si>
    <t>푸르지오</t>
    <phoneticPr fontId="1" type="noConversion"/>
  </si>
  <si>
    <t>자이</t>
    <phoneticPr fontId="1" type="noConversion"/>
  </si>
  <si>
    <t>지역명</t>
    <phoneticPr fontId="1" type="noConversion"/>
  </si>
  <si>
    <t>전용면적</t>
    <phoneticPr fontId="1" type="noConversion"/>
  </si>
  <si>
    <t>규모</t>
    <phoneticPr fontId="1" type="noConversion"/>
  </si>
  <si>
    <t>거래가</t>
    <phoneticPr fontId="1" type="noConversion"/>
  </si>
  <si>
    <t>입주일</t>
    <phoneticPr fontId="1" type="noConversion"/>
  </si>
  <si>
    <t>세대수</t>
    <phoneticPr fontId="1" type="noConversion"/>
  </si>
  <si>
    <t>e-편한세상</t>
    <phoneticPr fontId="1" type="noConversion"/>
  </si>
  <si>
    <t>수원시</t>
    <phoneticPr fontId="1" type="noConversion"/>
  </si>
  <si>
    <t>주공</t>
    <phoneticPr fontId="1" type="noConversion"/>
  </si>
  <si>
    <t>매매</t>
    <phoneticPr fontId="1" type="noConversion"/>
  </si>
  <si>
    <t>용인시</t>
    <phoneticPr fontId="1" type="noConversion"/>
  </si>
  <si>
    <t>성남시</t>
    <phoneticPr fontId="1" type="noConversion"/>
  </si>
  <si>
    <t>용인시</t>
    <phoneticPr fontId="1" type="noConversion"/>
  </si>
  <si>
    <t>비발디</t>
    <phoneticPr fontId="1" type="noConversion"/>
  </si>
  <si>
    <t>안양시</t>
    <phoneticPr fontId="1" type="noConversion"/>
  </si>
  <si>
    <t>힐스테이트</t>
    <phoneticPr fontId="1" type="noConversion"/>
  </si>
  <si>
    <t>래미안</t>
    <phoneticPr fontId="1" type="noConversion"/>
  </si>
  <si>
    <t>병역 판정검사 현황</t>
    <phoneticPr fontId="1" type="noConversion"/>
  </si>
  <si>
    <t>[표1]</t>
    <phoneticPr fontId="1" type="noConversion"/>
  </si>
  <si>
    <t>교양수업 이수현황</t>
    <phoneticPr fontId="1" type="noConversion"/>
  </si>
  <si>
    <t>[표2]</t>
    <phoneticPr fontId="1" type="noConversion"/>
  </si>
  <si>
    <t>양궁 1세트 결과</t>
    <phoneticPr fontId="1" type="noConversion"/>
  </si>
  <si>
    <t>학번</t>
    <phoneticPr fontId="1" type="noConversion"/>
  </si>
  <si>
    <t>수업출석</t>
    <phoneticPr fontId="1" type="noConversion"/>
  </si>
  <si>
    <t>이수여부</t>
    <phoneticPr fontId="1" type="noConversion"/>
  </si>
  <si>
    <t>선수명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</si>
  <si>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</si>
  <si>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</si>
  <si>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</si>
  <si>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합계</t>
    <phoneticPr fontId="1" type="noConversion"/>
  </si>
  <si>
    <t>순위</t>
    <phoneticPr fontId="1" type="noConversion"/>
  </si>
  <si>
    <t>1회</t>
    <phoneticPr fontId="1" type="noConversion"/>
  </si>
  <si>
    <t>2회</t>
    <phoneticPr fontId="1" type="noConversion"/>
  </si>
  <si>
    <t>3회</t>
  </si>
  <si>
    <t>4회</t>
  </si>
  <si>
    <t>안산</t>
    <phoneticPr fontId="1" type="noConversion"/>
  </si>
  <si>
    <t>O</t>
    <phoneticPr fontId="1" type="noConversion"/>
  </si>
  <si>
    <t>O</t>
    <phoneticPr fontId="1" type="noConversion"/>
  </si>
  <si>
    <t>발렌시아</t>
    <phoneticPr fontId="1" type="noConversion"/>
  </si>
  <si>
    <t>O</t>
    <phoneticPr fontId="1" type="noConversion"/>
  </si>
  <si>
    <t>보아리</t>
    <phoneticPr fontId="1" type="noConversion"/>
  </si>
  <si>
    <t>우지아신</t>
    <phoneticPr fontId="1" type="noConversion"/>
  </si>
  <si>
    <t>오시포바</t>
    <phoneticPr fontId="1" type="noConversion"/>
  </si>
  <si>
    <t>강채영</t>
    <phoneticPr fontId="1" type="noConversion"/>
  </si>
  <si>
    <t>브라운</t>
    <phoneticPr fontId="1" type="noConversion"/>
  </si>
  <si>
    <t>쿠마리</t>
    <phoneticPr fontId="1" type="noConversion"/>
  </si>
  <si>
    <t>아나고즈</t>
    <phoneticPr fontId="1" type="noConversion"/>
  </si>
  <si>
    <t>바베린</t>
    <phoneticPr fontId="1" type="noConversion"/>
  </si>
  <si>
    <t xml:space="preserve">[표3] </t>
    <phoneticPr fontId="1" type="noConversion"/>
  </si>
  <si>
    <t>포장박스 사용계획표</t>
    <phoneticPr fontId="1" type="noConversion"/>
  </si>
  <si>
    <t>[표4]</t>
    <phoneticPr fontId="1" type="noConversion"/>
  </si>
  <si>
    <t>지점별 판매현황</t>
    <phoneticPr fontId="1" type="noConversion"/>
  </si>
  <si>
    <t>박스종류</t>
    <phoneticPr fontId="1" type="noConversion"/>
  </si>
  <si>
    <t>작업코드</t>
    <phoneticPr fontId="1" type="noConversion"/>
  </si>
  <si>
    <t>박스재고</t>
    <phoneticPr fontId="1" type="noConversion"/>
  </si>
  <si>
    <t>일사용량</t>
    <phoneticPr fontId="1" type="noConversion"/>
  </si>
  <si>
    <t>일수(나머지)</t>
    <phoneticPr fontId="1" type="noConversion"/>
  </si>
  <si>
    <t>지점코드</t>
  </si>
  <si>
    <t>판매량</t>
    <phoneticPr fontId="1" type="noConversion"/>
  </si>
  <si>
    <t>단가</t>
    <phoneticPr fontId="1" type="noConversion"/>
  </si>
  <si>
    <t>매출액</t>
  </si>
  <si>
    <t>지역</t>
  </si>
  <si>
    <t>BIG-01</t>
    <phoneticPr fontId="1" type="noConversion"/>
  </si>
  <si>
    <t>22B001</t>
    <phoneticPr fontId="1" type="noConversion"/>
  </si>
  <si>
    <t>A-E-01</t>
    <phoneticPr fontId="1" type="noConversion"/>
  </si>
  <si>
    <t>MID-01</t>
    <phoneticPr fontId="1" type="noConversion"/>
  </si>
  <si>
    <t>22B002</t>
    <phoneticPr fontId="1" type="noConversion"/>
  </si>
  <si>
    <t>A-W-01</t>
    <phoneticPr fontId="1" type="noConversion"/>
  </si>
  <si>
    <t>SML-01</t>
    <phoneticPr fontId="1" type="noConversion"/>
  </si>
  <si>
    <t>22B003</t>
  </si>
  <si>
    <t>A-S-01</t>
    <phoneticPr fontId="1" type="noConversion"/>
  </si>
  <si>
    <t>BIG-02</t>
    <phoneticPr fontId="1" type="noConversion"/>
  </si>
  <si>
    <t>22B004</t>
  </si>
  <si>
    <t>A-E-02</t>
    <phoneticPr fontId="1" type="noConversion"/>
  </si>
  <si>
    <t>SML-02</t>
    <phoneticPr fontId="1" type="noConversion"/>
  </si>
  <si>
    <t>22B005</t>
  </si>
  <si>
    <t>A-N-01</t>
    <phoneticPr fontId="1" type="noConversion"/>
  </si>
  <si>
    <t>&lt;코드표&gt;</t>
  </si>
  <si>
    <t>MID-02</t>
    <phoneticPr fontId="1" type="noConversion"/>
  </si>
  <si>
    <t>22B006</t>
  </si>
  <si>
    <t>A-W-02</t>
    <phoneticPr fontId="1" type="noConversion"/>
  </si>
  <si>
    <t>코드</t>
  </si>
  <si>
    <t>SML-03</t>
    <phoneticPr fontId="1" type="noConversion"/>
  </si>
  <si>
    <t>22B007</t>
  </si>
  <si>
    <t>A-S-02</t>
    <phoneticPr fontId="1" type="noConversion"/>
  </si>
  <si>
    <t>E</t>
    <phoneticPr fontId="1" type="noConversion"/>
  </si>
  <si>
    <t>강동</t>
    <phoneticPr fontId="1" type="noConversion"/>
  </si>
  <si>
    <t>BIG-03</t>
    <phoneticPr fontId="1" type="noConversion"/>
  </si>
  <si>
    <t>22B008</t>
  </si>
  <si>
    <t>A-W-03</t>
    <phoneticPr fontId="1" type="noConversion"/>
  </si>
  <si>
    <t>W</t>
    <phoneticPr fontId="1" type="noConversion"/>
  </si>
  <si>
    <t>강서</t>
    <phoneticPr fontId="1" type="noConversion"/>
  </si>
  <si>
    <t>MID-03</t>
    <phoneticPr fontId="1" type="noConversion"/>
  </si>
  <si>
    <t>22B009</t>
  </si>
  <si>
    <t>A-N-02</t>
    <phoneticPr fontId="1" type="noConversion"/>
  </si>
  <si>
    <t>S</t>
    <phoneticPr fontId="1" type="noConversion"/>
  </si>
  <si>
    <t>강남</t>
    <phoneticPr fontId="1" type="noConversion"/>
  </si>
  <si>
    <t>A-E-03</t>
    <phoneticPr fontId="1" type="noConversion"/>
  </si>
  <si>
    <t>N</t>
    <phoneticPr fontId="1" type="noConversion"/>
  </si>
  <si>
    <t>강북</t>
    <phoneticPr fontId="1" type="noConversion"/>
  </si>
  <si>
    <t>[표5]</t>
    <phoneticPr fontId="1" type="noConversion"/>
  </si>
  <si>
    <t>제품판매현황</t>
    <phoneticPr fontId="1" type="noConversion"/>
  </si>
  <si>
    <t>대리점명</t>
    <phoneticPr fontId="1" type="noConversion"/>
  </si>
  <si>
    <t>판매원</t>
    <phoneticPr fontId="1" type="noConversion"/>
  </si>
  <si>
    <t>스마트폰</t>
    <phoneticPr fontId="1" type="noConversion"/>
  </si>
  <si>
    <t>태블릿</t>
    <phoneticPr fontId="1" type="noConversion"/>
  </si>
  <si>
    <t>워치</t>
    <phoneticPr fontId="1" type="noConversion"/>
  </si>
  <si>
    <t>강북지점</t>
    <phoneticPr fontId="1" type="noConversion"/>
  </si>
  <si>
    <t>최은영</t>
  </si>
  <si>
    <t>강남지점</t>
    <phoneticPr fontId="1" type="noConversion"/>
  </si>
  <si>
    <t>김성철</t>
  </si>
  <si>
    <t>강서지점</t>
    <phoneticPr fontId="1" type="noConversion"/>
  </si>
  <si>
    <t>김진혁</t>
  </si>
  <si>
    <t>강북지점</t>
    <phoneticPr fontId="1" type="noConversion"/>
  </si>
  <si>
    <t>이진아</t>
  </si>
  <si>
    <t>진성우</t>
  </si>
  <si>
    <t>이민우</t>
  </si>
  <si>
    <t>김철민</t>
  </si>
  <si>
    <t>강남지점</t>
    <phoneticPr fontId="1" type="noConversion"/>
  </si>
  <si>
    <t>박사랑</t>
  </si>
  <si>
    <t>김봉수</t>
  </si>
  <si>
    <t>&lt;조건&gt;</t>
    <phoneticPr fontId="1" type="noConversion"/>
  </si>
  <si>
    <t>강남지점 판매원들의 스마트폰 판매 평균</t>
    <phoneticPr fontId="1" type="noConversion"/>
  </si>
  <si>
    <t>2023년</t>
  </si>
  <si>
    <t>2024년</t>
  </si>
  <si>
    <t>사번</t>
    <phoneticPr fontId="1" type="noConversion"/>
  </si>
  <si>
    <t>성명</t>
    <phoneticPr fontId="1" type="noConversion"/>
  </si>
  <si>
    <t>직위</t>
    <phoneticPr fontId="1" type="noConversion"/>
  </si>
  <si>
    <t>SJ01-023</t>
    <phoneticPr fontId="1" type="noConversion"/>
  </si>
  <si>
    <t>민제필</t>
    <phoneticPr fontId="1" type="noConversion"/>
  </si>
  <si>
    <t>부장</t>
    <phoneticPr fontId="1" type="noConversion"/>
  </si>
  <si>
    <t>SJ04-012</t>
    <phoneticPr fontId="1" type="noConversion"/>
  </si>
  <si>
    <t>나일형</t>
    <phoneticPr fontId="1" type="noConversion"/>
  </si>
  <si>
    <t>과장</t>
    <phoneticPr fontId="1" type="noConversion"/>
  </si>
  <si>
    <t>SJ11-002</t>
    <phoneticPr fontId="1" type="noConversion"/>
  </si>
  <si>
    <t>제선영</t>
    <phoneticPr fontId="1" type="noConversion"/>
  </si>
  <si>
    <t>주임</t>
    <phoneticPr fontId="1" type="noConversion"/>
  </si>
  <si>
    <t>SJ10-021</t>
    <phoneticPr fontId="1" type="noConversion"/>
  </si>
  <si>
    <t>박민준</t>
    <phoneticPr fontId="1" type="noConversion"/>
  </si>
  <si>
    <t>대리</t>
  </si>
  <si>
    <t>SJ09-015</t>
    <phoneticPr fontId="1" type="noConversion"/>
  </si>
  <si>
    <t>최세연</t>
    <phoneticPr fontId="1" type="noConversion"/>
  </si>
  <si>
    <t>대리</t>
    <phoneticPr fontId="1" type="noConversion"/>
  </si>
  <si>
    <t>SJ13-007</t>
    <phoneticPr fontId="1" type="noConversion"/>
  </si>
  <si>
    <t>장태현</t>
    <phoneticPr fontId="1" type="noConversion"/>
  </si>
  <si>
    <t>사원</t>
    <phoneticPr fontId="1" type="noConversion"/>
  </si>
  <si>
    <t>SJ06-019</t>
    <phoneticPr fontId="1" type="noConversion"/>
  </si>
  <si>
    <t>추양선</t>
    <phoneticPr fontId="1" type="noConversion"/>
  </si>
  <si>
    <t>SJ08-004</t>
    <phoneticPr fontId="1" type="noConversion"/>
  </si>
  <si>
    <t>피종현</t>
    <phoneticPr fontId="1" type="noConversion"/>
  </si>
  <si>
    <t>SJ12-031</t>
    <phoneticPr fontId="1" type="noConversion"/>
  </si>
  <si>
    <t>김나리</t>
    <phoneticPr fontId="1" type="noConversion"/>
  </si>
  <si>
    <t>SJ12-012</t>
    <phoneticPr fontId="1" type="noConversion"/>
  </si>
  <si>
    <t>이정선</t>
    <phoneticPr fontId="1" type="noConversion"/>
  </si>
  <si>
    <t>SJ13-003</t>
    <phoneticPr fontId="1" type="noConversion"/>
  </si>
  <si>
    <t>박청국</t>
    <phoneticPr fontId="1" type="noConversion"/>
  </si>
  <si>
    <t>주임</t>
  </si>
  <si>
    <t>SJ09-001</t>
    <phoneticPr fontId="1" type="noConversion"/>
  </si>
  <si>
    <t>김평순</t>
    <phoneticPr fontId="1" type="noConversion"/>
  </si>
  <si>
    <t>2022년</t>
  </si>
  <si>
    <t>사원별 년도별 차량 판매현황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</si>
</sst>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&quot;₩&quot;#,##0"/>
    <numFmt numFmtId="178" formatCode="0.0%"/>
    <numFmt numFmtId="179" formatCode="* #,##0,&quot;천개&quot;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11" fillId="0" borderId="2" applyNumberFormat="0" applyFill="0" applyAlignment="0" applyProtection="0">
      <alignment vertical="center"/>
    </xf>
    <xf numFmtId="0" fontId="2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7" fillId="0" borderId="0" xfId="5" applyFont="1" applyAlignment="1">
      <alignment vertical="center"/>
    </xf>
    <xf numFmtId="0" fontId="7" fillId="0" borderId="1" xfId="5" applyFont="1" applyBorder="1" applyAlignment="1">
      <alignment horizontal="center" vertical="center"/>
    </xf>
    <xf numFmtId="0" fontId="7" fillId="0" borderId="1" xfId="5" applyFont="1" applyFill="1" applyBorder="1" applyAlignment="1">
      <alignment horizontal="center" vertical="center"/>
    </xf>
    <xf numFmtId="176" fontId="7" fillId="0" borderId="1" xfId="5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6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9" fillId="0" borderId="1" xfId="0" applyFont="1" applyFill="1" applyBorder="1">
      <alignment vertical="center"/>
    </xf>
    <xf numFmtId="0" fontId="10" fillId="0" borderId="1" xfId="0" applyFont="1" applyFill="1" applyBorder="1" applyAlignment="1">
      <alignment horizontal="center" vertical="center"/>
    </xf>
    <xf numFmtId="41" fontId="9" fillId="0" borderId="1" xfId="1" applyNumberFormat="1" applyFont="1" applyFill="1" applyBorder="1">
      <alignment vertical="center"/>
    </xf>
    <xf numFmtId="177" fontId="9" fillId="0" borderId="1" xfId="1" applyNumberFormat="1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0" fillId="0" borderId="0" xfId="0" applyAlignment="1">
      <alignment vertical="center"/>
    </xf>
    <xf numFmtId="0" fontId="9" fillId="0" borderId="1" xfId="0" applyFont="1" applyFill="1" applyBorder="1" applyAlignment="1">
      <alignment horizontal="left" vertical="center"/>
    </xf>
    <xf numFmtId="41" fontId="9" fillId="0" borderId="1" xfId="1" applyFont="1" applyFill="1" applyBorder="1" applyAlignment="1">
      <alignment horizontal="left" vertical="center"/>
    </xf>
    <xf numFmtId="0" fontId="9" fillId="0" borderId="9" xfId="0" applyFont="1" applyFill="1" applyBorder="1" applyAlignment="1">
      <alignment horizontal="left" vertical="center"/>
    </xf>
    <xf numFmtId="179" fontId="9" fillId="0" borderId="1" xfId="1" applyNumberFormat="1" applyFont="1" applyFill="1" applyBorder="1" applyAlignment="1">
      <alignment horizontal="left" vertical="center"/>
    </xf>
    <xf numFmtId="178" fontId="9" fillId="0" borderId="1" xfId="2" applyNumberFormat="1" applyFont="1" applyFill="1" applyBorder="1" applyAlignment="1">
      <alignment horizontal="center" vertical="center"/>
    </xf>
    <xf numFmtId="0" fontId="7" fillId="0" borderId="1" xfId="5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2" fillId="5" borderId="1" xfId="3" applyFont="1" applyFill="1" applyBorder="1" applyAlignment="1">
      <alignment horizontal="center" vertical="center"/>
    </xf>
    <xf numFmtId="0" fontId="14" fillId="0" borderId="0" xfId="8" applyFont="1">
      <alignment vertical="center"/>
    </xf>
    <xf numFmtId="0" fontId="15" fillId="0" borderId="0" xfId="8" applyFont="1">
      <alignment vertical="center"/>
    </xf>
    <xf numFmtId="0" fontId="14" fillId="0" borderId="0" xfId="5" applyFont="1" applyAlignment="1">
      <alignment vertical="center"/>
    </xf>
    <xf numFmtId="0" fontId="15" fillId="0" borderId="0" xfId="5" applyFont="1" applyAlignme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1" xfId="5" applyFont="1" applyBorder="1" applyAlignment="1">
      <alignment horizontal="center" vertical="center"/>
    </xf>
    <xf numFmtId="0" fontId="14" fillId="0" borderId="1" xfId="8" applyFont="1" applyFill="1" applyBorder="1" applyAlignment="1">
      <alignment horizontal="center" vertical="center"/>
    </xf>
    <xf numFmtId="0" fontId="14" fillId="0" borderId="1" xfId="8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41" fontId="14" fillId="0" borderId="1" xfId="1" applyFont="1" applyBorder="1" applyAlignment="1">
      <alignment horizontal="center" vertical="center"/>
    </xf>
    <xf numFmtId="41" fontId="14" fillId="0" borderId="1" xfId="0" applyNumberFormat="1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9" fillId="0" borderId="0" xfId="5" applyFont="1" applyAlignment="1">
      <alignment vertical="center"/>
    </xf>
    <xf numFmtId="0" fontId="9" fillId="0" borderId="1" xfId="5" applyFont="1" applyBorder="1" applyAlignment="1">
      <alignment horizontal="center" vertical="center"/>
    </xf>
    <xf numFmtId="0" fontId="9" fillId="6" borderId="1" xfId="5" applyFont="1" applyFill="1" applyBorder="1" applyAlignment="1">
      <alignment horizontal="center" vertical="center"/>
    </xf>
    <xf numFmtId="0" fontId="10" fillId="7" borderId="1" xfId="4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11" fillId="0" borderId="2" xfId="7" applyAlignment="1">
      <alignment horizontal="center" vertical="center"/>
    </xf>
    <xf numFmtId="0" fontId="14" fillId="0" borderId="1" xfId="8" applyFont="1" applyFill="1" applyBorder="1" applyAlignment="1">
      <alignment horizontal="center" vertical="center"/>
    </xf>
    <xf numFmtId="0" fontId="14" fillId="0" borderId="3" xfId="8" applyFont="1" applyBorder="1" applyAlignment="1">
      <alignment horizontal="center" vertical="center"/>
    </xf>
    <xf numFmtId="0" fontId="14" fillId="0" borderId="4" xfId="8" applyFont="1" applyBorder="1" applyAlignment="1">
      <alignment horizontal="center" vertical="center"/>
    </xf>
    <xf numFmtId="0" fontId="14" fillId="0" borderId="5" xfId="8" applyFont="1" applyBorder="1" applyAlignment="1">
      <alignment horizontal="center" vertical="center"/>
    </xf>
    <xf numFmtId="0" fontId="14" fillId="6" borderId="1" xfId="8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5" fillId="0" borderId="0" xfId="5" applyFont="1" applyAlignment="1">
      <alignment horizontal="center" vertical="center"/>
    </xf>
    <xf numFmtId="0" fontId="7" fillId="0" borderId="1" xfId="5" applyFont="1" applyBorder="1" applyAlignment="1">
      <alignment horizontal="center" vertical="center"/>
    </xf>
    <xf numFmtId="9" fontId="7" fillId="0" borderId="1" xfId="5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1" applyFont="1" applyFill="1" applyBorder="1">
      <alignment vertical="center"/>
    </xf>
    <xf numFmtId="0" fontId="16" fillId="0" borderId="0" xfId="0" applyFont="1">
      <alignment vertical="center"/>
    </xf>
  </cellXfs>
  <cellStyles count="9">
    <cellStyle name="강조색1" xfId="3" builtinId="29"/>
    <cellStyle name="강조색4" xfId="4" builtinId="41"/>
    <cellStyle name="백분율" xfId="2" builtinId="5"/>
    <cellStyle name="쉼표 [0]" xfId="1" builtinId="6"/>
    <cellStyle name="쉼표 [0] 2" xfId="6" xr:uid="{00000000-0005-0000-0000-000004000000}"/>
    <cellStyle name="제목 1" xfId="7" builtinId="16"/>
    <cellStyle name="표준" xfId="0" builtinId="0"/>
    <cellStyle name="표준 2" xfId="5" xr:uid="{00000000-0005-0000-0000-000007000000}"/>
    <cellStyle name="표준 3 2" xfId="8" xr:uid="{00000000-0005-0000-0000-00000800000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차트작업!$B$2</c:f>
          <c:strCache>
            <c:ptCount val="1"/>
            <c:pt idx="0">
              <c:v>병역 판정검사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현역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차트작업!$C$4:$F$4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차트작업!$C$5:$F$5</c:f>
              <c:numCache>
                <c:formatCode>_(* #,##0_);_(* \(#,##0\);_(* "-"_);_(@_)</c:formatCode>
                <c:ptCount val="4"/>
                <c:pt idx="0">
                  <c:v>4125</c:v>
                </c:pt>
                <c:pt idx="1">
                  <c:v>3248</c:v>
                </c:pt>
                <c:pt idx="2">
                  <c:v>3550</c:v>
                </c:pt>
                <c:pt idx="3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7-4354-875B-8C3B9BA8C1A7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보충역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차트작업!$C$4:$F$4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차트작업!$C$6:$F$6</c:f>
              <c:numCache>
                <c:formatCode>_(* #,##0_);_(* \(#,##0\);_(* "-"_);_(@_)</c:formatCode>
                <c:ptCount val="4"/>
                <c:pt idx="0">
                  <c:v>2120</c:v>
                </c:pt>
                <c:pt idx="1">
                  <c:v>3592</c:v>
                </c:pt>
                <c:pt idx="2">
                  <c:v>2621</c:v>
                </c:pt>
                <c:pt idx="3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97-4354-875B-8C3B9BA8C1A7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차트작업!$C$4:$F$4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차트작업!$C$7:$F$7</c:f>
              <c:numCache>
                <c:formatCode>_(* #,##0_);_(* \(#,##0\);_(* "-"_);_(@_)</c:formatCode>
                <c:ptCount val="4"/>
                <c:pt idx="0">
                  <c:v>1020</c:v>
                </c:pt>
                <c:pt idx="1">
                  <c:v>1150</c:v>
                </c:pt>
                <c:pt idx="2">
                  <c:v>2750</c:v>
                </c:pt>
                <c:pt idx="3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97-4354-875B-8C3B9BA8C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8764864"/>
        <c:axId val="1038769856"/>
      </c:barChart>
      <c:catAx>
        <c:axId val="103876486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9856"/>
        <c:crosses val="autoZero"/>
        <c:auto val="1"/>
        <c:lblAlgn val="ctr"/>
        <c:lblOffset val="100"/>
        <c:noMultiLvlLbl val="0"/>
      </c:catAx>
      <c:valAx>
        <c:axId val="103876985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4864"/>
        <c:crosses val="autoZero"/>
        <c:crossBetween val="between"/>
        <c:majorUnit val="2000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테두리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0</xdr:rowOff>
    </xdr:to>
    <xdr:sp macro="[0]!서식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803900" y="8636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11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거래처" connectionId="1" xr16:uid="{00000000-0016-0000-0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tabSelected="1" zoomScaleNormal="100" workbookViewId="0"/>
  </sheetViews>
  <sheetFormatPr defaultRowHeight="16.5"/>
  <cols>
    <col min="1" max="1" width="32.125" bestFit="1" customWidth="1"/>
    <col min="2" max="2" width="15.75" bestFit="1" customWidth="1"/>
    <col min="3" max="3" width="15.75" customWidth="1"/>
    <col min="5" max="5" width="27.625" bestFit="1" customWidth="1"/>
  </cols>
  <sheetData>
    <row r="1" spans="1:7">
      <c r="A1" t="s">
        <v>118</v>
      </c>
    </row>
    <row r="3" spans="1:7">
      <c r="A3" t="s">
        <v>78</v>
      </c>
      <c r="B3" t="s">
        <v>84</v>
      </c>
      <c r="C3" t="s">
        <v>86</v>
      </c>
      <c r="D3" t="s">
        <v>80</v>
      </c>
      <c r="E3" t="s">
        <v>81</v>
      </c>
      <c r="F3" t="s">
        <v>88</v>
      </c>
      <c r="G3" t="s">
        <v>89</v>
      </c>
    </row>
    <row r="4" spans="1:7">
      <c r="A4" t="s">
        <v>79</v>
      </c>
      <c r="B4" t="s">
        <v>85</v>
      </c>
      <c r="C4" t="s">
        <v>87</v>
      </c>
      <c r="D4" t="s">
        <v>82</v>
      </c>
      <c r="E4" t="s">
        <v>83</v>
      </c>
      <c r="F4">
        <v>18000</v>
      </c>
      <c r="G4" t="s">
        <v>90</v>
      </c>
    </row>
    <row r="5" spans="1:7">
      <c r="A5" t="s">
        <v>91</v>
      </c>
      <c r="B5" t="s">
        <v>92</v>
      </c>
      <c r="C5" t="s">
        <v>93</v>
      </c>
      <c r="D5" t="s">
        <v>94</v>
      </c>
      <c r="E5" t="s">
        <v>95</v>
      </c>
      <c r="F5">
        <v>28000</v>
      </c>
      <c r="G5" t="s">
        <v>96</v>
      </c>
    </row>
    <row r="6" spans="1:7">
      <c r="A6" t="s">
        <v>97</v>
      </c>
      <c r="B6" t="s">
        <v>98</v>
      </c>
      <c r="C6" t="s">
        <v>87</v>
      </c>
      <c r="D6" t="s">
        <v>99</v>
      </c>
      <c r="E6" t="s">
        <v>99</v>
      </c>
      <c r="F6">
        <v>108000</v>
      </c>
      <c r="G6" t="s">
        <v>100</v>
      </c>
    </row>
    <row r="7" spans="1:7">
      <c r="A7" t="s">
        <v>101</v>
      </c>
      <c r="B7" t="s">
        <v>102</v>
      </c>
      <c r="C7" t="s">
        <v>103</v>
      </c>
      <c r="D7" t="s">
        <v>110</v>
      </c>
      <c r="E7" t="s">
        <v>104</v>
      </c>
      <c r="F7">
        <v>14800</v>
      </c>
      <c r="G7" t="s">
        <v>100</v>
      </c>
    </row>
    <row r="8" spans="1:7">
      <c r="A8" t="s">
        <v>105</v>
      </c>
      <c r="B8" t="s">
        <v>106</v>
      </c>
      <c r="C8" t="s">
        <v>107</v>
      </c>
      <c r="D8" t="s">
        <v>108</v>
      </c>
      <c r="E8" t="s">
        <v>109</v>
      </c>
      <c r="F8">
        <v>9400</v>
      </c>
      <c r="G8" t="s">
        <v>90</v>
      </c>
    </row>
    <row r="9" spans="1:7">
      <c r="A9" t="s">
        <v>111</v>
      </c>
      <c r="B9" t="s">
        <v>113</v>
      </c>
      <c r="C9" t="s">
        <v>87</v>
      </c>
      <c r="D9" t="s">
        <v>99</v>
      </c>
      <c r="E9" t="s">
        <v>99</v>
      </c>
      <c r="F9">
        <v>60000</v>
      </c>
      <c r="G9" t="s">
        <v>112</v>
      </c>
    </row>
    <row r="10" spans="1:7">
      <c r="A10" t="s">
        <v>116</v>
      </c>
      <c r="B10" t="s">
        <v>114</v>
      </c>
      <c r="C10" t="s">
        <v>87</v>
      </c>
      <c r="D10" t="s">
        <v>115</v>
      </c>
      <c r="E10" t="s">
        <v>117</v>
      </c>
      <c r="F10">
        <v>25000</v>
      </c>
      <c r="G10" t="s">
        <v>112</v>
      </c>
    </row>
    <row r="11" spans="1:7">
      <c r="A11" t="s">
        <v>119</v>
      </c>
      <c r="B11" t="s">
        <v>120</v>
      </c>
      <c r="C11" t="s">
        <v>121</v>
      </c>
      <c r="D11" t="s">
        <v>122</v>
      </c>
      <c r="E11" t="s">
        <v>123</v>
      </c>
      <c r="F11">
        <v>206000</v>
      </c>
      <c r="G11" t="s">
        <v>124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sqref="A1:H1"/>
    </sheetView>
  </sheetViews>
  <sheetFormatPr defaultRowHeight="16.5"/>
  <cols>
    <col min="3" max="3" width="10.625" bestFit="1" customWidth="1"/>
    <col min="6" max="6" width="11.625" bestFit="1" customWidth="1"/>
    <col min="7" max="7" width="8.5" bestFit="1" customWidth="1"/>
  </cols>
  <sheetData>
    <row r="1" spans="1:8" ht="27" customHeight="1" thickBot="1">
      <c r="A1" s="52" t="s">
        <v>142</v>
      </c>
      <c r="B1" s="52"/>
      <c r="C1" s="52"/>
      <c r="D1" s="52"/>
      <c r="E1" s="52"/>
      <c r="F1" s="52"/>
      <c r="G1" s="52"/>
      <c r="H1" s="52"/>
    </row>
    <row r="2" spans="1:8" ht="17.25" thickTop="1">
      <c r="A2" s="15"/>
      <c r="B2" s="15"/>
      <c r="C2" s="15"/>
      <c r="D2" s="15"/>
      <c r="E2" s="15"/>
      <c r="F2" s="15"/>
      <c r="G2" s="15"/>
      <c r="H2" s="15"/>
    </row>
    <row r="3" spans="1:8">
      <c r="A3" s="45" t="s">
        <v>125</v>
      </c>
      <c r="B3" s="45" t="s">
        <v>126</v>
      </c>
      <c r="C3" s="45" t="s">
        <v>127</v>
      </c>
      <c r="D3" s="45" t="s">
        <v>128</v>
      </c>
      <c r="E3" s="45" t="s">
        <v>129</v>
      </c>
      <c r="F3" s="45" t="s">
        <v>130</v>
      </c>
      <c r="G3" s="45" t="s">
        <v>131</v>
      </c>
      <c r="H3" s="45" t="s">
        <v>132</v>
      </c>
    </row>
    <row r="4" spans="1:8">
      <c r="A4" s="49" t="s">
        <v>136</v>
      </c>
      <c r="B4" s="16" t="s">
        <v>139</v>
      </c>
      <c r="C4" s="17">
        <v>800000</v>
      </c>
      <c r="D4" s="20">
        <v>2E-3</v>
      </c>
      <c r="E4" s="17">
        <v>100000</v>
      </c>
      <c r="F4" s="19">
        <v>900000</v>
      </c>
      <c r="G4" s="17">
        <v>59500</v>
      </c>
      <c r="H4" s="17">
        <v>6</v>
      </c>
    </row>
    <row r="5" spans="1:8">
      <c r="A5" s="50"/>
      <c r="B5" s="16" t="s">
        <v>140</v>
      </c>
      <c r="C5" s="17">
        <v>2000000</v>
      </c>
      <c r="D5" s="20">
        <v>8.9999999999999993E-3</v>
      </c>
      <c r="E5" s="17">
        <v>150000</v>
      </c>
      <c r="F5" s="19">
        <v>2070000</v>
      </c>
      <c r="G5" s="17">
        <v>99000</v>
      </c>
      <c r="H5" s="17">
        <v>7</v>
      </c>
    </row>
    <row r="6" spans="1:8">
      <c r="A6" s="51"/>
      <c r="B6" s="16" t="s">
        <v>141</v>
      </c>
      <c r="C6" s="17">
        <v>960000</v>
      </c>
      <c r="D6" s="20">
        <v>3.0000000000000001E-3</v>
      </c>
      <c r="E6" s="17">
        <v>50000</v>
      </c>
      <c r="F6" s="19">
        <v>1010000</v>
      </c>
      <c r="G6" s="17">
        <v>61000</v>
      </c>
      <c r="H6" s="17">
        <v>3</v>
      </c>
    </row>
    <row r="7" spans="1:8">
      <c r="A7" s="49" t="s">
        <v>137</v>
      </c>
      <c r="B7" s="16" t="s">
        <v>133</v>
      </c>
      <c r="C7" s="17">
        <v>720000</v>
      </c>
      <c r="D7" s="20">
        <v>0</v>
      </c>
      <c r="E7" s="17">
        <v>30000</v>
      </c>
      <c r="F7" s="19">
        <v>750000</v>
      </c>
      <c r="G7" s="17">
        <v>130000</v>
      </c>
      <c r="H7" s="17">
        <v>1</v>
      </c>
    </row>
    <row r="8" spans="1:8">
      <c r="A8" s="50"/>
      <c r="B8" s="16" t="s">
        <v>134</v>
      </c>
      <c r="C8" s="17">
        <v>1200000</v>
      </c>
      <c r="D8" s="20">
        <v>0.02</v>
      </c>
      <c r="E8" s="17">
        <v>75000</v>
      </c>
      <c r="F8" s="19">
        <v>1251000</v>
      </c>
      <c r="G8" s="17">
        <v>218000</v>
      </c>
      <c r="H8" s="17">
        <v>4</v>
      </c>
    </row>
    <row r="9" spans="1:8">
      <c r="A9" s="51"/>
      <c r="B9" s="16" t="s">
        <v>139</v>
      </c>
      <c r="C9" s="17">
        <v>2800000</v>
      </c>
      <c r="D9" s="20">
        <v>1E-3</v>
      </c>
      <c r="E9" s="17">
        <v>140000</v>
      </c>
      <c r="F9" s="19">
        <v>2838000</v>
      </c>
      <c r="G9" s="17">
        <v>67000</v>
      </c>
      <c r="H9" s="17">
        <v>5</v>
      </c>
    </row>
    <row r="10" spans="1:8">
      <c r="A10" s="49" t="s">
        <v>138</v>
      </c>
      <c r="B10" s="16" t="s">
        <v>140</v>
      </c>
      <c r="C10" s="17">
        <v>640000</v>
      </c>
      <c r="D10" s="20">
        <v>0.01</v>
      </c>
      <c r="E10" s="17">
        <v>200000</v>
      </c>
      <c r="F10" s="19">
        <v>840000</v>
      </c>
      <c r="G10" s="17">
        <v>88000</v>
      </c>
      <c r="H10" s="17">
        <v>8</v>
      </c>
    </row>
    <row r="11" spans="1:8">
      <c r="A11" s="50"/>
      <c r="B11" s="16" t="s">
        <v>141</v>
      </c>
      <c r="C11" s="17">
        <v>720000</v>
      </c>
      <c r="D11" s="20">
        <v>5.0000000000000001E-3</v>
      </c>
      <c r="E11" s="17">
        <v>40000</v>
      </c>
      <c r="F11" s="19">
        <v>760000</v>
      </c>
      <c r="G11" s="17">
        <v>125000</v>
      </c>
      <c r="H11" s="17">
        <v>2</v>
      </c>
    </row>
    <row r="12" spans="1:8">
      <c r="A12" s="51"/>
      <c r="B12" s="16" t="s">
        <v>133</v>
      </c>
      <c r="C12" s="17">
        <v>1200000</v>
      </c>
      <c r="D12" s="20">
        <v>0.02</v>
      </c>
      <c r="E12" s="17">
        <v>50000</v>
      </c>
      <c r="F12" s="19">
        <v>1226000</v>
      </c>
      <c r="G12" s="17">
        <v>77000</v>
      </c>
      <c r="H12" s="17">
        <v>3</v>
      </c>
    </row>
    <row r="13" spans="1:8">
      <c r="A13" s="46" t="s">
        <v>135</v>
      </c>
      <c r="B13" s="47"/>
      <c r="C13" s="47"/>
      <c r="D13" s="48"/>
      <c r="E13" s="17">
        <v>835000</v>
      </c>
      <c r="F13" s="19">
        <v>11645000</v>
      </c>
      <c r="G13" s="17">
        <v>924500</v>
      </c>
      <c r="H13" s="18"/>
    </row>
  </sheetData>
  <mergeCells count="5">
    <mergeCell ref="A13:D13"/>
    <mergeCell ref="A10:A12"/>
    <mergeCell ref="A7:A9"/>
    <mergeCell ref="A4:A6"/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"/>
  <sheetViews>
    <sheetView workbookViewId="0"/>
  </sheetViews>
  <sheetFormatPr defaultRowHeight="16.5"/>
  <cols>
    <col min="1" max="7" width="11.625" customWidth="1"/>
  </cols>
  <sheetData>
    <row r="1" spans="1:10" ht="17.25">
      <c r="A1" s="66" t="s">
        <v>318</v>
      </c>
    </row>
    <row r="3" spans="1:10">
      <c r="A3" s="63" t="s">
        <v>283</v>
      </c>
      <c r="B3" s="63" t="s">
        <v>284</v>
      </c>
      <c r="C3" s="63" t="s">
        <v>285</v>
      </c>
      <c r="D3" s="63" t="s">
        <v>1</v>
      </c>
      <c r="E3" s="63" t="s">
        <v>317</v>
      </c>
      <c r="F3" s="63" t="s">
        <v>281</v>
      </c>
      <c r="G3" s="63" t="s">
        <v>282</v>
      </c>
    </row>
    <row r="4" spans="1:10">
      <c r="A4" s="1" t="s">
        <v>286</v>
      </c>
      <c r="B4" s="1" t="s">
        <v>287</v>
      </c>
      <c r="C4" s="1" t="s">
        <v>288</v>
      </c>
      <c r="D4" s="64">
        <v>50</v>
      </c>
      <c r="E4" s="64">
        <v>182</v>
      </c>
      <c r="F4" s="64">
        <v>122</v>
      </c>
      <c r="G4" s="64">
        <v>145</v>
      </c>
    </row>
    <row r="5" spans="1:10">
      <c r="A5" s="1" t="s">
        <v>289</v>
      </c>
      <c r="B5" s="1" t="s">
        <v>290</v>
      </c>
      <c r="C5" s="1" t="s">
        <v>291</v>
      </c>
      <c r="D5" s="64">
        <v>194</v>
      </c>
      <c r="E5" s="64">
        <v>155</v>
      </c>
      <c r="F5" s="64">
        <v>47</v>
      </c>
      <c r="G5" s="64">
        <v>157</v>
      </c>
    </row>
    <row r="6" spans="1:10">
      <c r="A6" s="1" t="s">
        <v>292</v>
      </c>
      <c r="B6" s="1" t="s">
        <v>293</v>
      </c>
      <c r="C6" s="1" t="s">
        <v>294</v>
      </c>
      <c r="D6" s="64">
        <v>181</v>
      </c>
      <c r="E6" s="64">
        <v>190</v>
      </c>
      <c r="F6" s="64">
        <v>89</v>
      </c>
      <c r="G6" s="64">
        <v>170</v>
      </c>
    </row>
    <row r="7" spans="1:10">
      <c r="A7" s="1" t="s">
        <v>295</v>
      </c>
      <c r="B7" s="1" t="s">
        <v>296</v>
      </c>
      <c r="C7" s="1" t="s">
        <v>297</v>
      </c>
      <c r="D7" s="64">
        <v>56</v>
      </c>
      <c r="E7" s="64">
        <v>72</v>
      </c>
      <c r="F7" s="64">
        <v>154</v>
      </c>
      <c r="G7" s="64">
        <v>187</v>
      </c>
      <c r="J7" s="65"/>
    </row>
    <row r="8" spans="1:10">
      <c r="A8" s="1" t="s">
        <v>298</v>
      </c>
      <c r="B8" s="1" t="s">
        <v>299</v>
      </c>
      <c r="C8" s="1" t="s">
        <v>300</v>
      </c>
      <c r="D8" s="64">
        <v>134</v>
      </c>
      <c r="E8" s="64">
        <v>45</v>
      </c>
      <c r="F8" s="64">
        <v>40</v>
      </c>
      <c r="G8" s="64">
        <v>127</v>
      </c>
      <c r="J8" s="65"/>
    </row>
    <row r="9" spans="1:10">
      <c r="A9" s="1" t="s">
        <v>301</v>
      </c>
      <c r="B9" s="1" t="s">
        <v>302</v>
      </c>
      <c r="C9" s="1" t="s">
        <v>303</v>
      </c>
      <c r="D9" s="64">
        <v>198</v>
      </c>
      <c r="E9" s="64">
        <v>103</v>
      </c>
      <c r="F9" s="64">
        <v>19</v>
      </c>
      <c r="G9" s="64">
        <v>38</v>
      </c>
    </row>
    <row r="10" spans="1:10">
      <c r="A10" s="1" t="s">
        <v>304</v>
      </c>
      <c r="B10" s="1" t="s">
        <v>305</v>
      </c>
      <c r="C10" s="1" t="s">
        <v>291</v>
      </c>
      <c r="D10" s="64">
        <v>191</v>
      </c>
      <c r="E10" s="64">
        <v>129</v>
      </c>
      <c r="F10" s="64">
        <v>157</v>
      </c>
      <c r="G10" s="64">
        <v>109</v>
      </c>
      <c r="J10" s="65"/>
    </row>
    <row r="11" spans="1:10">
      <c r="A11" s="1" t="s">
        <v>306</v>
      </c>
      <c r="B11" s="1" t="s">
        <v>307</v>
      </c>
      <c r="C11" s="1" t="s">
        <v>300</v>
      </c>
      <c r="D11" s="64">
        <v>17</v>
      </c>
      <c r="E11" s="64">
        <v>72</v>
      </c>
      <c r="F11" s="64">
        <v>150</v>
      </c>
      <c r="G11" s="64">
        <v>10</v>
      </c>
    </row>
    <row r="12" spans="1:10">
      <c r="A12" s="1" t="s">
        <v>308</v>
      </c>
      <c r="B12" s="1" t="s">
        <v>309</v>
      </c>
      <c r="C12" s="1" t="s">
        <v>294</v>
      </c>
      <c r="D12" s="64">
        <v>149</v>
      </c>
      <c r="E12" s="64">
        <v>199</v>
      </c>
      <c r="F12" s="64">
        <v>76</v>
      </c>
      <c r="G12" s="64">
        <v>188</v>
      </c>
      <c r="J12" s="65"/>
    </row>
    <row r="13" spans="1:10">
      <c r="A13" s="1" t="s">
        <v>310</v>
      </c>
      <c r="B13" s="1" t="s">
        <v>311</v>
      </c>
      <c r="C13" s="1" t="s">
        <v>303</v>
      </c>
      <c r="D13" s="64">
        <v>152</v>
      </c>
      <c r="E13" s="64">
        <v>182</v>
      </c>
      <c r="F13" s="64">
        <v>91</v>
      </c>
      <c r="G13" s="64">
        <v>136</v>
      </c>
    </row>
    <row r="14" spans="1:10">
      <c r="A14" s="1" t="s">
        <v>312</v>
      </c>
      <c r="B14" s="1" t="s">
        <v>313</v>
      </c>
      <c r="C14" s="1" t="s">
        <v>314</v>
      </c>
      <c r="D14" s="64">
        <v>34</v>
      </c>
      <c r="E14" s="64">
        <v>111</v>
      </c>
      <c r="F14" s="64">
        <v>167</v>
      </c>
      <c r="G14" s="64">
        <v>40</v>
      </c>
    </row>
    <row r="15" spans="1:10">
      <c r="A15" s="1" t="s">
        <v>315</v>
      </c>
      <c r="B15" s="1" t="s">
        <v>316</v>
      </c>
      <c r="C15" s="1" t="s">
        <v>300</v>
      </c>
      <c r="D15" s="64">
        <v>165</v>
      </c>
      <c r="E15" s="64">
        <v>75</v>
      </c>
      <c r="F15" s="64">
        <v>98</v>
      </c>
      <c r="G15" s="64">
        <v>141</v>
      </c>
    </row>
  </sheetData>
  <phoneticPr fontId="1" type="noConversion"/>
  <conditionalFormatting sqref="A4:G15">
    <cfRule type="expression" dxfId="1" priority="1">
      <formula>$G4&gt;$E4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2"/>
  <sheetViews>
    <sheetView workbookViewId="0"/>
  </sheetViews>
  <sheetFormatPr defaultColWidth="8.625" defaultRowHeight="16.5"/>
  <cols>
    <col min="1" max="2" width="8.625" style="31"/>
    <col min="3" max="5" width="11.625" style="31" customWidth="1"/>
    <col min="6" max="9" width="8.625" style="31"/>
    <col min="10" max="10" width="10.625" style="31" bestFit="1" customWidth="1"/>
    <col min="11" max="16384" width="8.625" style="31"/>
  </cols>
  <sheetData>
    <row r="1" spans="1:13">
      <c r="A1" s="27" t="s">
        <v>176</v>
      </c>
      <c r="B1" s="28" t="s">
        <v>177</v>
      </c>
      <c r="C1" s="27"/>
      <c r="D1" s="27"/>
      <c r="E1" s="27"/>
      <c r="F1" s="27"/>
      <c r="H1" s="29" t="s">
        <v>178</v>
      </c>
      <c r="I1" s="30" t="s">
        <v>179</v>
      </c>
      <c r="J1" s="42"/>
      <c r="K1" s="42"/>
      <c r="L1" s="42"/>
    </row>
    <row r="2" spans="1:13">
      <c r="A2" s="53" t="s">
        <v>180</v>
      </c>
      <c r="B2" s="54" t="s">
        <v>181</v>
      </c>
      <c r="C2" s="55"/>
      <c r="D2" s="55"/>
      <c r="E2" s="56"/>
      <c r="F2" s="57" t="s">
        <v>182</v>
      </c>
      <c r="H2" s="43" t="s">
        <v>183</v>
      </c>
      <c r="I2" s="33" t="s">
        <v>184</v>
      </c>
      <c r="J2" s="43" t="s">
        <v>185</v>
      </c>
      <c r="K2" s="33" t="s">
        <v>186</v>
      </c>
      <c r="L2" s="43" t="s">
        <v>187</v>
      </c>
      <c r="M2" s="44" t="s">
        <v>188</v>
      </c>
    </row>
    <row r="3" spans="1:13">
      <c r="A3" s="53"/>
      <c r="B3" s="34" t="s">
        <v>189</v>
      </c>
      <c r="C3" s="34" t="s">
        <v>190</v>
      </c>
      <c r="D3" s="34" t="s">
        <v>191</v>
      </c>
      <c r="E3" s="34" t="s">
        <v>192</v>
      </c>
      <c r="F3" s="57"/>
      <c r="H3" s="33" t="s">
        <v>193</v>
      </c>
      <c r="I3" s="43">
        <v>10</v>
      </c>
      <c r="J3" s="43">
        <v>10</v>
      </c>
      <c r="K3" s="43">
        <v>10</v>
      </c>
      <c r="L3" s="43">
        <f>SUM(I3:K3)</f>
        <v>30</v>
      </c>
      <c r="M3" s="43" t="str">
        <f>IFERROR(CHOOSE(_xlfn.RANK.EQ(L3,$L$3:$L$12),"1위","2위","3위"),"")</f>
        <v>1위</v>
      </c>
    </row>
    <row r="4" spans="1:13">
      <c r="A4" s="35">
        <v>2025001</v>
      </c>
      <c r="B4" s="35" t="s">
        <v>194</v>
      </c>
      <c r="C4" s="35" t="s">
        <v>194</v>
      </c>
      <c r="D4" s="35"/>
      <c r="E4" s="35" t="s">
        <v>195</v>
      </c>
      <c r="F4" s="35" t="str">
        <f t="shared" ref="F4:F13" si="0">IF(COUNTBLANK(B4:E4)&lt;=1,"이수","")</f>
        <v>이수</v>
      </c>
      <c r="H4" s="33" t="s">
        <v>196</v>
      </c>
      <c r="I4" s="43">
        <v>8</v>
      </c>
      <c r="J4" s="43">
        <v>9</v>
      </c>
      <c r="K4" s="43">
        <v>10</v>
      </c>
      <c r="L4" s="43">
        <f t="shared" ref="L4:L12" si="1">SUM(I4:K4)</f>
        <v>27</v>
      </c>
      <c r="M4" s="43" t="str">
        <f t="shared" ref="M4:M12" si="2">IFERROR(CHOOSE(_xlfn.RANK.EQ(L4,$L$3:$L$12),"1위","2위","3위"),"")</f>
        <v/>
      </c>
    </row>
    <row r="5" spans="1:13">
      <c r="A5" s="35">
        <v>2025002</v>
      </c>
      <c r="B5" s="35"/>
      <c r="C5" s="35"/>
      <c r="D5" s="35" t="s">
        <v>195</v>
      </c>
      <c r="E5" s="35" t="s">
        <v>197</v>
      </c>
      <c r="F5" s="35" t="str">
        <f t="shared" si="0"/>
        <v/>
      </c>
      <c r="H5" s="33" t="s">
        <v>198</v>
      </c>
      <c r="I5" s="43">
        <v>10</v>
      </c>
      <c r="J5" s="43">
        <v>9</v>
      </c>
      <c r="K5" s="43">
        <v>9</v>
      </c>
      <c r="L5" s="43">
        <f t="shared" si="1"/>
        <v>28</v>
      </c>
      <c r="M5" s="43" t="str">
        <f t="shared" si="2"/>
        <v>3위</v>
      </c>
    </row>
    <row r="6" spans="1:13">
      <c r="A6" s="35">
        <v>2025003</v>
      </c>
      <c r="B6" s="35" t="s">
        <v>195</v>
      </c>
      <c r="C6" s="35"/>
      <c r="D6" s="35" t="s">
        <v>195</v>
      </c>
      <c r="E6" s="35" t="s">
        <v>197</v>
      </c>
      <c r="F6" s="35" t="str">
        <f t="shared" si="0"/>
        <v>이수</v>
      </c>
      <c r="H6" s="33" t="s">
        <v>199</v>
      </c>
      <c r="I6" s="43">
        <v>7</v>
      </c>
      <c r="J6" s="43">
        <v>8</v>
      </c>
      <c r="K6" s="43">
        <v>10</v>
      </c>
      <c r="L6" s="43">
        <f t="shared" si="1"/>
        <v>25</v>
      </c>
      <c r="M6" s="43" t="str">
        <f t="shared" si="2"/>
        <v/>
      </c>
    </row>
    <row r="7" spans="1:13">
      <c r="A7" s="35">
        <v>2025004</v>
      </c>
      <c r="B7" s="35"/>
      <c r="C7" s="35" t="s">
        <v>195</v>
      </c>
      <c r="D7" s="35"/>
      <c r="E7" s="35" t="s">
        <v>195</v>
      </c>
      <c r="F7" s="35" t="str">
        <f t="shared" si="0"/>
        <v/>
      </c>
      <c r="H7" s="33" t="s">
        <v>200</v>
      </c>
      <c r="I7" s="43">
        <v>10</v>
      </c>
      <c r="J7" s="43">
        <v>10</v>
      </c>
      <c r="K7" s="43">
        <v>9</v>
      </c>
      <c r="L7" s="43">
        <f t="shared" si="1"/>
        <v>29</v>
      </c>
      <c r="M7" s="43" t="str">
        <f t="shared" si="2"/>
        <v>2위</v>
      </c>
    </row>
    <row r="8" spans="1:13">
      <c r="A8" s="35">
        <v>2025005</v>
      </c>
      <c r="B8" s="35" t="s">
        <v>194</v>
      </c>
      <c r="C8" s="35" t="s">
        <v>195</v>
      </c>
      <c r="D8" s="35" t="s">
        <v>194</v>
      </c>
      <c r="E8" s="35" t="s">
        <v>195</v>
      </c>
      <c r="F8" s="35" t="str">
        <f t="shared" si="0"/>
        <v>이수</v>
      </c>
      <c r="H8" s="33" t="s">
        <v>201</v>
      </c>
      <c r="I8" s="43">
        <v>10</v>
      </c>
      <c r="J8" s="43">
        <v>8</v>
      </c>
      <c r="K8" s="43">
        <v>9</v>
      </c>
      <c r="L8" s="43">
        <f t="shared" si="1"/>
        <v>27</v>
      </c>
      <c r="M8" s="43" t="str">
        <f t="shared" si="2"/>
        <v/>
      </c>
    </row>
    <row r="9" spans="1:13">
      <c r="A9" s="35">
        <v>2025006</v>
      </c>
      <c r="B9" s="35" t="s">
        <v>194</v>
      </c>
      <c r="C9" s="35" t="s">
        <v>195</v>
      </c>
      <c r="D9" s="35" t="s">
        <v>197</v>
      </c>
      <c r="E9" s="35"/>
      <c r="F9" s="35" t="str">
        <f t="shared" si="0"/>
        <v>이수</v>
      </c>
      <c r="H9" s="33" t="s">
        <v>202</v>
      </c>
      <c r="I9" s="43">
        <v>9</v>
      </c>
      <c r="J9" s="43">
        <v>9</v>
      </c>
      <c r="K9" s="43">
        <v>9</v>
      </c>
      <c r="L9" s="43">
        <f t="shared" si="1"/>
        <v>27</v>
      </c>
      <c r="M9" s="43" t="str">
        <f t="shared" si="2"/>
        <v/>
      </c>
    </row>
    <row r="10" spans="1:13">
      <c r="A10" s="35">
        <v>2025007</v>
      </c>
      <c r="B10" s="35" t="s">
        <v>195</v>
      </c>
      <c r="C10" s="35"/>
      <c r="D10" s="35" t="s">
        <v>195</v>
      </c>
      <c r="E10" s="35" t="s">
        <v>195</v>
      </c>
      <c r="F10" s="35" t="str">
        <f t="shared" si="0"/>
        <v>이수</v>
      </c>
      <c r="H10" s="33" t="s">
        <v>203</v>
      </c>
      <c r="I10" s="43">
        <v>8</v>
      </c>
      <c r="J10" s="43">
        <v>9</v>
      </c>
      <c r="K10" s="43">
        <v>9</v>
      </c>
      <c r="L10" s="43">
        <f t="shared" si="1"/>
        <v>26</v>
      </c>
      <c r="M10" s="43" t="str">
        <f t="shared" si="2"/>
        <v/>
      </c>
    </row>
    <row r="11" spans="1:13">
      <c r="A11" s="35">
        <v>2025008</v>
      </c>
      <c r="B11" s="35" t="s">
        <v>195</v>
      </c>
      <c r="C11" s="35" t="s">
        <v>195</v>
      </c>
      <c r="D11" s="35"/>
      <c r="E11" s="35"/>
      <c r="F11" s="35" t="str">
        <f t="shared" si="0"/>
        <v/>
      </c>
      <c r="H11" s="33" t="s">
        <v>204</v>
      </c>
      <c r="I11" s="43">
        <v>9</v>
      </c>
      <c r="J11" s="43">
        <v>8</v>
      </c>
      <c r="K11" s="43">
        <v>7</v>
      </c>
      <c r="L11" s="43">
        <f t="shared" si="1"/>
        <v>24</v>
      </c>
      <c r="M11" s="43" t="str">
        <f t="shared" si="2"/>
        <v/>
      </c>
    </row>
    <row r="12" spans="1:13">
      <c r="A12" s="35">
        <v>2025009</v>
      </c>
      <c r="B12" s="35" t="s">
        <v>197</v>
      </c>
      <c r="C12" s="35" t="s">
        <v>197</v>
      </c>
      <c r="D12" s="35" t="s">
        <v>194</v>
      </c>
      <c r="E12" s="35" t="s">
        <v>195</v>
      </c>
      <c r="F12" s="35" t="str">
        <f t="shared" si="0"/>
        <v>이수</v>
      </c>
      <c r="H12" s="33" t="s">
        <v>205</v>
      </c>
      <c r="I12" s="43">
        <v>7</v>
      </c>
      <c r="J12" s="43">
        <v>9</v>
      </c>
      <c r="K12" s="43">
        <v>8</v>
      </c>
      <c r="L12" s="43">
        <f t="shared" si="1"/>
        <v>24</v>
      </c>
      <c r="M12" s="43" t="str">
        <f t="shared" si="2"/>
        <v/>
      </c>
    </row>
    <row r="13" spans="1:13">
      <c r="A13" s="35">
        <v>2025010</v>
      </c>
      <c r="B13" s="35"/>
      <c r="C13" s="35" t="s">
        <v>197</v>
      </c>
      <c r="D13" s="35"/>
      <c r="E13" s="35" t="s">
        <v>195</v>
      </c>
      <c r="F13" s="35" t="str">
        <f t="shared" si="0"/>
        <v/>
      </c>
    </row>
    <row r="15" spans="1:13">
      <c r="A15" s="31" t="s">
        <v>206</v>
      </c>
      <c r="B15" s="32" t="s">
        <v>207</v>
      </c>
      <c r="G15" s="31" t="s">
        <v>208</v>
      </c>
      <c r="H15" s="32" t="s">
        <v>209</v>
      </c>
    </row>
    <row r="16" spans="1:13">
      <c r="A16" s="36" t="s">
        <v>210</v>
      </c>
      <c r="B16" s="36" t="s">
        <v>211</v>
      </c>
      <c r="C16" s="36" t="s">
        <v>212</v>
      </c>
      <c r="D16" s="36" t="s">
        <v>213</v>
      </c>
      <c r="E16" s="37" t="s">
        <v>214</v>
      </c>
      <c r="G16" s="36" t="s">
        <v>215</v>
      </c>
      <c r="H16" s="36" t="s">
        <v>216</v>
      </c>
      <c r="I16" s="36" t="s">
        <v>217</v>
      </c>
      <c r="J16" s="36" t="s">
        <v>218</v>
      </c>
      <c r="K16" s="37" t="s">
        <v>219</v>
      </c>
    </row>
    <row r="17" spans="1:14">
      <c r="A17" s="36" t="s">
        <v>220</v>
      </c>
      <c r="B17" s="36" t="s">
        <v>221</v>
      </c>
      <c r="C17" s="38">
        <v>1500</v>
      </c>
      <c r="D17" s="36">
        <v>85</v>
      </c>
      <c r="E17" s="36" t="str">
        <f t="shared" ref="E17:E25" si="3">INT(C17/D17)&amp;"("&amp;MOD(C17,D17)&amp;")"</f>
        <v>17(55)</v>
      </c>
      <c r="G17" s="36" t="s">
        <v>222</v>
      </c>
      <c r="H17" s="36">
        <v>150</v>
      </c>
      <c r="I17" s="38">
        <v>50000</v>
      </c>
      <c r="J17" s="39">
        <v>7500000</v>
      </c>
      <c r="K17" s="36" t="str">
        <f t="shared" ref="K17:K26" si="4">VLOOKUP(MID(G17,3,1),$M$23:$N$26,2,FALSE)</f>
        <v>강동</v>
      </c>
    </row>
    <row r="18" spans="1:14">
      <c r="A18" s="36" t="s">
        <v>223</v>
      </c>
      <c r="B18" s="36" t="s">
        <v>224</v>
      </c>
      <c r="C18" s="38">
        <v>1500</v>
      </c>
      <c r="D18" s="36">
        <v>58</v>
      </c>
      <c r="E18" s="36" t="str">
        <f t="shared" si="3"/>
        <v>25(50)</v>
      </c>
      <c r="G18" s="36" t="s">
        <v>225</v>
      </c>
      <c r="H18" s="36">
        <v>140</v>
      </c>
      <c r="I18" s="38">
        <v>50000</v>
      </c>
      <c r="J18" s="39">
        <v>7000000</v>
      </c>
      <c r="K18" s="36" t="str">
        <f t="shared" si="4"/>
        <v>강서</v>
      </c>
    </row>
    <row r="19" spans="1:14">
      <c r="A19" s="36" t="s">
        <v>226</v>
      </c>
      <c r="B19" s="36" t="s">
        <v>227</v>
      </c>
      <c r="C19" s="38">
        <v>1500</v>
      </c>
      <c r="D19" s="36">
        <v>95</v>
      </c>
      <c r="E19" s="36" t="str">
        <f t="shared" si="3"/>
        <v>15(75)</v>
      </c>
      <c r="G19" s="36" t="s">
        <v>228</v>
      </c>
      <c r="H19" s="36">
        <v>155</v>
      </c>
      <c r="I19" s="38">
        <v>50000</v>
      </c>
      <c r="J19" s="39">
        <v>7750000</v>
      </c>
      <c r="K19" s="36" t="str">
        <f t="shared" si="4"/>
        <v>강남</v>
      </c>
    </row>
    <row r="20" spans="1:14">
      <c r="A20" s="36" t="s">
        <v>229</v>
      </c>
      <c r="B20" s="36" t="s">
        <v>230</v>
      </c>
      <c r="C20" s="38">
        <v>850</v>
      </c>
      <c r="D20" s="36">
        <v>29</v>
      </c>
      <c r="E20" s="36" t="str">
        <f t="shared" si="3"/>
        <v>29(9)</v>
      </c>
      <c r="G20" s="36" t="s">
        <v>231</v>
      </c>
      <c r="H20" s="36">
        <v>120</v>
      </c>
      <c r="I20" s="38">
        <v>50000</v>
      </c>
      <c r="J20" s="39">
        <v>6000000</v>
      </c>
      <c r="K20" s="36" t="str">
        <f t="shared" si="4"/>
        <v>강동</v>
      </c>
    </row>
    <row r="21" spans="1:14">
      <c r="A21" s="36" t="s">
        <v>232</v>
      </c>
      <c r="B21" s="36" t="s">
        <v>233</v>
      </c>
      <c r="C21" s="38">
        <v>1150</v>
      </c>
      <c r="D21" s="36">
        <v>65</v>
      </c>
      <c r="E21" s="36" t="str">
        <f t="shared" si="3"/>
        <v>17(45)</v>
      </c>
      <c r="G21" s="36" t="s">
        <v>234</v>
      </c>
      <c r="H21" s="36">
        <v>135</v>
      </c>
      <c r="I21" s="38">
        <v>50000</v>
      </c>
      <c r="J21" s="39">
        <v>6750000</v>
      </c>
      <c r="K21" s="36" t="str">
        <f t="shared" si="4"/>
        <v>강북</v>
      </c>
      <c r="M21" s="31" t="s">
        <v>235</v>
      </c>
    </row>
    <row r="22" spans="1:14">
      <c r="A22" s="36" t="s">
        <v>236</v>
      </c>
      <c r="B22" s="36" t="s">
        <v>237</v>
      </c>
      <c r="C22" s="38">
        <v>950</v>
      </c>
      <c r="D22" s="36">
        <v>55</v>
      </c>
      <c r="E22" s="36" t="str">
        <f t="shared" si="3"/>
        <v>17(15)</v>
      </c>
      <c r="G22" s="36" t="s">
        <v>238</v>
      </c>
      <c r="H22" s="36">
        <v>105</v>
      </c>
      <c r="I22" s="38">
        <v>50000</v>
      </c>
      <c r="J22" s="39">
        <v>5250000</v>
      </c>
      <c r="K22" s="36" t="str">
        <f t="shared" si="4"/>
        <v>강서</v>
      </c>
      <c r="M22" s="36" t="s">
        <v>239</v>
      </c>
      <c r="N22" s="36" t="s">
        <v>219</v>
      </c>
    </row>
    <row r="23" spans="1:14">
      <c r="A23" s="36" t="s">
        <v>240</v>
      </c>
      <c r="B23" s="36" t="s">
        <v>241</v>
      </c>
      <c r="C23" s="38">
        <v>1700</v>
      </c>
      <c r="D23" s="36">
        <v>80</v>
      </c>
      <c r="E23" s="36" t="str">
        <f t="shared" si="3"/>
        <v>21(20)</v>
      </c>
      <c r="G23" s="36" t="s">
        <v>242</v>
      </c>
      <c r="H23" s="36">
        <v>152</v>
      </c>
      <c r="I23" s="38">
        <v>50000</v>
      </c>
      <c r="J23" s="39">
        <v>7600000</v>
      </c>
      <c r="K23" s="36" t="str">
        <f t="shared" si="4"/>
        <v>강남</v>
      </c>
      <c r="M23" s="36" t="s">
        <v>243</v>
      </c>
      <c r="N23" s="36" t="s">
        <v>244</v>
      </c>
    </row>
    <row r="24" spans="1:14">
      <c r="A24" s="36" t="s">
        <v>245</v>
      </c>
      <c r="B24" s="36" t="s">
        <v>246</v>
      </c>
      <c r="C24" s="38">
        <v>850</v>
      </c>
      <c r="D24" s="36">
        <v>45</v>
      </c>
      <c r="E24" s="36" t="str">
        <f t="shared" si="3"/>
        <v>18(40)</v>
      </c>
      <c r="G24" s="36" t="s">
        <v>247</v>
      </c>
      <c r="H24" s="36">
        <v>95</v>
      </c>
      <c r="I24" s="38">
        <v>50000</v>
      </c>
      <c r="J24" s="39">
        <v>4750000</v>
      </c>
      <c r="K24" s="36" t="str">
        <f t="shared" si="4"/>
        <v>강서</v>
      </c>
      <c r="M24" s="36" t="s">
        <v>248</v>
      </c>
      <c r="N24" s="36" t="s">
        <v>249</v>
      </c>
    </row>
    <row r="25" spans="1:14">
      <c r="A25" s="36" t="s">
        <v>250</v>
      </c>
      <c r="B25" s="36" t="s">
        <v>251</v>
      </c>
      <c r="C25" s="38">
        <v>950</v>
      </c>
      <c r="D25" s="36">
        <v>63</v>
      </c>
      <c r="E25" s="36" t="str">
        <f t="shared" si="3"/>
        <v>15(5)</v>
      </c>
      <c r="G25" s="36" t="s">
        <v>252</v>
      </c>
      <c r="H25" s="36">
        <v>85</v>
      </c>
      <c r="I25" s="38">
        <v>50000</v>
      </c>
      <c r="J25" s="39">
        <v>4250000</v>
      </c>
      <c r="K25" s="36" t="str">
        <f t="shared" si="4"/>
        <v>강북</v>
      </c>
      <c r="M25" s="36" t="s">
        <v>253</v>
      </c>
      <c r="N25" s="36" t="s">
        <v>254</v>
      </c>
    </row>
    <row r="26" spans="1:14">
      <c r="G26" s="36" t="s">
        <v>255</v>
      </c>
      <c r="H26" s="36">
        <v>75</v>
      </c>
      <c r="I26" s="38">
        <v>50000</v>
      </c>
      <c r="J26" s="39">
        <v>3750000</v>
      </c>
      <c r="K26" s="36" t="str">
        <f t="shared" si="4"/>
        <v>강동</v>
      </c>
      <c r="M26" s="36" t="s">
        <v>256</v>
      </c>
      <c r="N26" s="36" t="s">
        <v>257</v>
      </c>
    </row>
    <row r="28" spans="1:14">
      <c r="A28" s="31" t="s">
        <v>258</v>
      </c>
      <c r="B28" s="32" t="s">
        <v>259</v>
      </c>
    </row>
    <row r="29" spans="1:14">
      <c r="A29" s="40" t="s">
        <v>260</v>
      </c>
      <c r="B29" s="40" t="s">
        <v>261</v>
      </c>
      <c r="C29" s="36" t="s">
        <v>262</v>
      </c>
      <c r="D29" s="36" t="s">
        <v>263</v>
      </c>
      <c r="E29" s="36" t="s">
        <v>264</v>
      </c>
    </row>
    <row r="30" spans="1:14">
      <c r="A30" s="36" t="s">
        <v>265</v>
      </c>
      <c r="B30" s="36" t="s">
        <v>266</v>
      </c>
      <c r="C30" s="36">
        <v>45</v>
      </c>
      <c r="D30" s="36">
        <v>15</v>
      </c>
      <c r="E30" s="36">
        <v>15</v>
      </c>
    </row>
    <row r="31" spans="1:14">
      <c r="A31" s="36" t="s">
        <v>267</v>
      </c>
      <c r="B31" s="36" t="s">
        <v>268</v>
      </c>
      <c r="C31" s="36">
        <v>35</v>
      </c>
      <c r="D31" s="36">
        <v>25</v>
      </c>
      <c r="E31" s="36">
        <v>21</v>
      </c>
    </row>
    <row r="32" spans="1:14">
      <c r="A32" s="36" t="s">
        <v>269</v>
      </c>
      <c r="B32" s="36" t="s">
        <v>270</v>
      </c>
      <c r="C32" s="36">
        <v>28</v>
      </c>
      <c r="D32" s="36">
        <v>18</v>
      </c>
      <c r="E32" s="36">
        <v>8</v>
      </c>
    </row>
    <row r="33" spans="1:5">
      <c r="A33" s="36" t="s">
        <v>271</v>
      </c>
      <c r="B33" s="36" t="s">
        <v>272</v>
      </c>
      <c r="C33" s="36">
        <v>32</v>
      </c>
      <c r="D33" s="36">
        <v>21</v>
      </c>
      <c r="E33" s="36">
        <v>16</v>
      </c>
    </row>
    <row r="34" spans="1:5">
      <c r="A34" s="36" t="s">
        <v>267</v>
      </c>
      <c r="B34" s="36" t="s">
        <v>273</v>
      </c>
      <c r="C34" s="36">
        <v>41</v>
      </c>
      <c r="D34" s="36">
        <v>19</v>
      </c>
      <c r="E34" s="36">
        <v>24</v>
      </c>
    </row>
    <row r="35" spans="1:5">
      <c r="A35" s="36" t="s">
        <v>269</v>
      </c>
      <c r="B35" s="36" t="s">
        <v>274</v>
      </c>
      <c r="C35" s="36">
        <v>25</v>
      </c>
      <c r="D35" s="36">
        <v>8</v>
      </c>
      <c r="E35" s="36">
        <v>16</v>
      </c>
    </row>
    <row r="36" spans="1:5">
      <c r="A36" s="36" t="s">
        <v>269</v>
      </c>
      <c r="B36" s="36" t="s">
        <v>275</v>
      </c>
      <c r="C36" s="36">
        <v>15</v>
      </c>
      <c r="D36" s="36">
        <v>13</v>
      </c>
      <c r="E36" s="36">
        <v>20</v>
      </c>
    </row>
    <row r="37" spans="1:5">
      <c r="A37" s="36" t="s">
        <v>276</v>
      </c>
      <c r="B37" s="36" t="s">
        <v>277</v>
      </c>
      <c r="C37" s="36">
        <v>36</v>
      </c>
      <c r="D37" s="36">
        <v>24</v>
      </c>
      <c r="E37" s="36">
        <v>17</v>
      </c>
    </row>
    <row r="38" spans="1:5">
      <c r="A38" s="36" t="s">
        <v>271</v>
      </c>
      <c r="B38" s="36" t="s">
        <v>278</v>
      </c>
      <c r="C38" s="36">
        <v>28</v>
      </c>
      <c r="D38" s="36">
        <v>17</v>
      </c>
      <c r="E38" s="36">
        <v>16</v>
      </c>
    </row>
    <row r="40" spans="1:5">
      <c r="A40" s="41" t="s">
        <v>279</v>
      </c>
    </row>
    <row r="41" spans="1:5">
      <c r="A41" s="36" t="s">
        <v>260</v>
      </c>
      <c r="C41" s="58" t="s">
        <v>280</v>
      </c>
      <c r="D41" s="58"/>
      <c r="E41" s="58"/>
    </row>
    <row r="42" spans="1:5">
      <c r="A42" s="36" t="s">
        <v>276</v>
      </c>
      <c r="C42" s="59">
        <f t="shared" ref="C42" si="5">ROUNDDOWN(DAVERAGE(A29:E38,3,A41:A42),1)</f>
        <v>37.299999999999997</v>
      </c>
      <c r="D42" s="59"/>
      <c r="E42" s="59"/>
    </row>
  </sheetData>
  <mergeCells count="5">
    <mergeCell ref="A2:A3"/>
    <mergeCell ref="B2:E2"/>
    <mergeCell ref="F2:F3"/>
    <mergeCell ref="C41:E41"/>
    <mergeCell ref="C42:E4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1"/>
  <sheetViews>
    <sheetView workbookViewId="0"/>
  </sheetViews>
  <sheetFormatPr defaultRowHeight="16.5"/>
  <cols>
    <col min="1" max="1" width="8.5" bestFit="1" customWidth="1"/>
    <col min="2" max="2" width="11.75" customWidth="1"/>
    <col min="3" max="4" width="8.5" bestFit="1" customWidth="1"/>
    <col min="5" max="5" width="9.375" customWidth="1"/>
    <col min="6" max="6" width="15.5" customWidth="1"/>
    <col min="7" max="7" width="7.875" customWidth="1"/>
    <col min="8" max="8" width="10.75" bestFit="1" customWidth="1"/>
    <col min="9" max="9" width="10.5" customWidth="1"/>
  </cols>
  <sheetData>
    <row r="1" spans="1:9">
      <c r="A1" t="s">
        <v>143</v>
      </c>
    </row>
    <row r="3" spans="1:9">
      <c r="A3" s="11" t="s">
        <v>158</v>
      </c>
      <c r="B3" s="11" t="s">
        <v>144</v>
      </c>
      <c r="C3" s="11" t="s">
        <v>145</v>
      </c>
      <c r="D3" s="11" t="s">
        <v>159</v>
      </c>
      <c r="E3" s="11" t="s">
        <v>160</v>
      </c>
      <c r="F3" s="11" t="s">
        <v>161</v>
      </c>
      <c r="G3" s="11" t="s">
        <v>146</v>
      </c>
      <c r="H3" s="11" t="s">
        <v>162</v>
      </c>
      <c r="I3" s="11" t="s">
        <v>163</v>
      </c>
    </row>
    <row r="4" spans="1:9">
      <c r="A4" s="10" t="s">
        <v>165</v>
      </c>
      <c r="B4" s="10" t="s">
        <v>157</v>
      </c>
      <c r="C4" s="11" t="s">
        <v>154</v>
      </c>
      <c r="D4" s="12">
        <v>126</v>
      </c>
      <c r="E4" s="11" t="s">
        <v>147</v>
      </c>
      <c r="F4" s="13">
        <v>1400000000</v>
      </c>
      <c r="G4" s="11">
        <v>23</v>
      </c>
      <c r="H4" s="14">
        <v>40929</v>
      </c>
      <c r="I4" s="22">
        <v>490</v>
      </c>
    </row>
    <row r="5" spans="1:9">
      <c r="A5" s="10" t="s">
        <v>153</v>
      </c>
      <c r="B5" s="10" t="s">
        <v>164</v>
      </c>
      <c r="C5" s="11" t="s">
        <v>154</v>
      </c>
      <c r="D5" s="12">
        <v>118</v>
      </c>
      <c r="E5" s="11" t="s">
        <v>147</v>
      </c>
      <c r="F5" s="13">
        <v>693000000</v>
      </c>
      <c r="G5" s="11">
        <v>15</v>
      </c>
      <c r="H5" s="14">
        <v>39384</v>
      </c>
      <c r="I5" s="11">
        <v>730</v>
      </c>
    </row>
    <row r="6" spans="1:9">
      <c r="A6" s="10" t="s">
        <v>169</v>
      </c>
      <c r="B6" s="10" t="s">
        <v>151</v>
      </c>
      <c r="C6" s="11" t="s">
        <v>154</v>
      </c>
      <c r="D6" s="12">
        <v>170</v>
      </c>
      <c r="E6" s="11" t="s">
        <v>147</v>
      </c>
      <c r="F6" s="13">
        <v>1421000000</v>
      </c>
      <c r="G6" s="11">
        <v>16</v>
      </c>
      <c r="H6" s="14">
        <v>37685</v>
      </c>
      <c r="I6" s="11">
        <v>180</v>
      </c>
    </row>
    <row r="7" spans="1:9">
      <c r="A7" s="10" t="s">
        <v>172</v>
      </c>
      <c r="B7" s="10" t="s">
        <v>173</v>
      </c>
      <c r="C7" s="11" t="s">
        <v>43</v>
      </c>
      <c r="D7" s="12">
        <v>114</v>
      </c>
      <c r="E7" s="11" t="s">
        <v>147</v>
      </c>
      <c r="F7" s="13">
        <v>648000000</v>
      </c>
      <c r="G7" s="11">
        <v>28</v>
      </c>
      <c r="H7" s="14">
        <v>42056</v>
      </c>
      <c r="I7" s="11">
        <v>365</v>
      </c>
    </row>
    <row r="8" spans="1:9">
      <c r="A8" s="10" t="s">
        <v>170</v>
      </c>
      <c r="B8" s="10" t="s">
        <v>174</v>
      </c>
      <c r="C8" s="11" t="s">
        <v>43</v>
      </c>
      <c r="D8" s="12">
        <v>99</v>
      </c>
      <c r="E8" s="11" t="s">
        <v>147</v>
      </c>
      <c r="F8" s="13">
        <v>940000000</v>
      </c>
      <c r="G8" s="11">
        <v>8</v>
      </c>
      <c r="H8" s="14">
        <v>42277</v>
      </c>
      <c r="I8" s="11">
        <v>590</v>
      </c>
    </row>
    <row r="9" spans="1:9">
      <c r="A9" s="10" t="s">
        <v>149</v>
      </c>
      <c r="B9" s="10" t="s">
        <v>156</v>
      </c>
      <c r="C9" s="11" t="s">
        <v>154</v>
      </c>
      <c r="D9" s="12">
        <v>76</v>
      </c>
      <c r="E9" s="11" t="s">
        <v>155</v>
      </c>
      <c r="F9" s="13">
        <v>470000000</v>
      </c>
      <c r="G9" s="11">
        <v>20</v>
      </c>
      <c r="H9" s="14">
        <v>42065</v>
      </c>
      <c r="I9" s="22">
        <v>450</v>
      </c>
    </row>
    <row r="10" spans="1:9">
      <c r="A10" s="10" t="s">
        <v>149</v>
      </c>
      <c r="B10" s="10" t="s">
        <v>151</v>
      </c>
      <c r="C10" s="11" t="s">
        <v>154</v>
      </c>
      <c r="D10" s="12">
        <v>85</v>
      </c>
      <c r="E10" s="11" t="s">
        <v>155</v>
      </c>
      <c r="F10" s="13">
        <v>690000000</v>
      </c>
      <c r="G10" s="11">
        <v>17</v>
      </c>
      <c r="H10" s="14">
        <v>42115</v>
      </c>
      <c r="I10" s="22">
        <v>410</v>
      </c>
    </row>
    <row r="11" spans="1:9">
      <c r="A11" s="10" t="s">
        <v>165</v>
      </c>
      <c r="B11" s="10" t="s">
        <v>164</v>
      </c>
      <c r="C11" s="11" t="s">
        <v>154</v>
      </c>
      <c r="D11" s="12">
        <v>85</v>
      </c>
      <c r="E11" s="11" t="s">
        <v>155</v>
      </c>
      <c r="F11" s="13">
        <v>445000000</v>
      </c>
      <c r="G11" s="11">
        <v>21</v>
      </c>
      <c r="H11" s="14">
        <v>39114</v>
      </c>
      <c r="I11" s="22">
        <v>475</v>
      </c>
    </row>
    <row r="12" spans="1:9">
      <c r="A12" s="10" t="s">
        <v>170</v>
      </c>
      <c r="B12" s="10" t="s">
        <v>171</v>
      </c>
      <c r="C12" s="11" t="s">
        <v>154</v>
      </c>
      <c r="D12" s="12">
        <v>85</v>
      </c>
      <c r="E12" s="11" t="s">
        <v>155</v>
      </c>
      <c r="F12" s="13">
        <v>340000000</v>
      </c>
      <c r="G12" s="11">
        <v>2</v>
      </c>
      <c r="H12" s="14">
        <v>37261</v>
      </c>
      <c r="I12" s="22">
        <v>470</v>
      </c>
    </row>
    <row r="13" spans="1:9">
      <c r="A13" s="10" t="s">
        <v>152</v>
      </c>
      <c r="B13" s="10" t="s">
        <v>151</v>
      </c>
      <c r="C13" s="11" t="s">
        <v>167</v>
      </c>
      <c r="D13" s="12">
        <v>85</v>
      </c>
      <c r="E13" s="11" t="s">
        <v>155</v>
      </c>
      <c r="F13" s="13">
        <v>710000000</v>
      </c>
      <c r="G13" s="11">
        <v>26</v>
      </c>
      <c r="H13" s="14">
        <v>43152</v>
      </c>
      <c r="I13" s="11">
        <v>255</v>
      </c>
    </row>
    <row r="14" spans="1:9">
      <c r="A14" s="10" t="s">
        <v>153</v>
      </c>
      <c r="B14" s="10" t="s">
        <v>156</v>
      </c>
      <c r="C14" s="11" t="s">
        <v>150</v>
      </c>
      <c r="D14" s="12">
        <v>85</v>
      </c>
      <c r="E14" s="11" t="s">
        <v>155</v>
      </c>
      <c r="F14" s="13">
        <v>280000000</v>
      </c>
      <c r="G14" s="11">
        <v>21</v>
      </c>
      <c r="H14" s="14">
        <v>38095</v>
      </c>
      <c r="I14" s="11">
        <v>280</v>
      </c>
    </row>
    <row r="15" spans="1:9">
      <c r="A15" s="10" t="s">
        <v>149</v>
      </c>
      <c r="B15" s="10" t="s">
        <v>164</v>
      </c>
      <c r="C15" s="11" t="s">
        <v>154</v>
      </c>
      <c r="D15" s="12">
        <v>75</v>
      </c>
      <c r="E15" s="11" t="s">
        <v>155</v>
      </c>
      <c r="F15" s="13">
        <v>680000000</v>
      </c>
      <c r="G15" s="11">
        <v>15</v>
      </c>
      <c r="H15" s="14">
        <v>42861</v>
      </c>
      <c r="I15" s="11">
        <v>620</v>
      </c>
    </row>
    <row r="16" spans="1:9">
      <c r="A16" s="10" t="s">
        <v>169</v>
      </c>
      <c r="B16" s="10" t="s">
        <v>156</v>
      </c>
      <c r="C16" s="11" t="s">
        <v>150</v>
      </c>
      <c r="D16" s="12">
        <v>85</v>
      </c>
      <c r="E16" s="11" t="s">
        <v>155</v>
      </c>
      <c r="F16" s="13">
        <v>430000000</v>
      </c>
      <c r="G16" s="11">
        <v>15</v>
      </c>
      <c r="H16" s="14">
        <v>41264</v>
      </c>
      <c r="I16" s="11">
        <v>520</v>
      </c>
    </row>
    <row r="17" spans="1:9">
      <c r="A17" s="10" t="s">
        <v>170</v>
      </c>
      <c r="B17" s="10" t="s">
        <v>164</v>
      </c>
      <c r="C17" s="11" t="s">
        <v>150</v>
      </c>
      <c r="D17" s="12">
        <v>85</v>
      </c>
      <c r="E17" s="11" t="s">
        <v>155</v>
      </c>
      <c r="F17" s="13">
        <v>430000000</v>
      </c>
      <c r="G17" s="11">
        <v>10</v>
      </c>
      <c r="H17" s="14">
        <v>38740</v>
      </c>
      <c r="I17" s="11">
        <v>390</v>
      </c>
    </row>
    <row r="18" spans="1:9">
      <c r="A18" s="10" t="s">
        <v>152</v>
      </c>
      <c r="B18" s="10" t="s">
        <v>156</v>
      </c>
      <c r="C18" s="11" t="s">
        <v>154</v>
      </c>
      <c r="D18" s="12">
        <v>61</v>
      </c>
      <c r="E18" s="11" t="s">
        <v>148</v>
      </c>
      <c r="F18" s="13">
        <v>445000000</v>
      </c>
      <c r="G18" s="11">
        <v>7</v>
      </c>
      <c r="H18" s="14">
        <v>34620</v>
      </c>
      <c r="I18" s="22">
        <v>840</v>
      </c>
    </row>
    <row r="19" spans="1:9">
      <c r="A19" s="10" t="s">
        <v>165</v>
      </c>
      <c r="B19" s="10" t="s">
        <v>151</v>
      </c>
      <c r="C19" s="11" t="s">
        <v>154</v>
      </c>
      <c r="D19" s="12">
        <v>60</v>
      </c>
      <c r="E19" s="11" t="s">
        <v>148</v>
      </c>
      <c r="F19" s="13">
        <v>730000000</v>
      </c>
      <c r="G19" s="11">
        <v>19</v>
      </c>
      <c r="H19" s="14">
        <v>43271</v>
      </c>
      <c r="I19" s="11">
        <v>580</v>
      </c>
    </row>
    <row r="20" spans="1:9">
      <c r="A20" s="10" t="s">
        <v>44</v>
      </c>
      <c r="B20" s="10" t="s">
        <v>166</v>
      </c>
      <c r="C20" s="11" t="s">
        <v>150</v>
      </c>
      <c r="D20" s="12">
        <v>60</v>
      </c>
      <c r="E20" s="11" t="s">
        <v>148</v>
      </c>
      <c r="F20" s="13">
        <v>220000000</v>
      </c>
      <c r="G20" s="11">
        <v>8</v>
      </c>
      <c r="H20" s="14">
        <v>34779</v>
      </c>
      <c r="I20" s="11">
        <v>640</v>
      </c>
    </row>
    <row r="21" spans="1:9">
      <c r="A21" s="10" t="s">
        <v>168</v>
      </c>
      <c r="B21" s="10" t="s">
        <v>156</v>
      </c>
      <c r="C21" s="11" t="s">
        <v>150</v>
      </c>
      <c r="D21" s="12">
        <v>60</v>
      </c>
      <c r="E21" s="11" t="s">
        <v>148</v>
      </c>
      <c r="F21" s="13">
        <v>490000000</v>
      </c>
      <c r="G21" s="11">
        <v>29</v>
      </c>
      <c r="H21" s="14">
        <v>43606</v>
      </c>
      <c r="I21" s="11">
        <v>610</v>
      </c>
    </row>
  </sheetData>
  <sortState xmlns:xlrd2="http://schemas.microsoft.com/office/spreadsheetml/2017/richdata2" ref="A4:I21">
    <sortCondition ref="E4:E21" customList="대형,중형,소형"/>
    <sortCondition sortBy="cellColor" ref="I4:I21" dxfId="2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"/>
  <sheetViews>
    <sheetView workbookViewId="0"/>
  </sheetViews>
  <sheetFormatPr defaultRowHeight="16.5"/>
  <cols>
    <col min="1" max="1" width="7.875" customWidth="1"/>
    <col min="4" max="4" width="9.5" bestFit="1" customWidth="1"/>
    <col min="6" max="6" width="10.625" bestFit="1" customWidth="1"/>
    <col min="8" max="9" width="12.625" bestFit="1" customWidth="1"/>
  </cols>
  <sheetData>
    <row r="1" spans="1:9" ht="26.25">
      <c r="A1" s="60" t="s">
        <v>6</v>
      </c>
      <c r="B1" s="60"/>
      <c r="C1" s="60"/>
      <c r="D1" s="60"/>
      <c r="E1" s="60"/>
      <c r="F1" s="60"/>
      <c r="G1" s="60"/>
      <c r="H1" s="60"/>
      <c r="I1" s="60"/>
    </row>
    <row r="2" spans="1:9">
      <c r="A2" s="3"/>
      <c r="B2" s="3"/>
      <c r="C2" s="3"/>
      <c r="D2" s="3"/>
      <c r="E2" s="3"/>
      <c r="F2" s="3"/>
      <c r="G2" s="3"/>
      <c r="H2" s="3"/>
    </row>
    <row r="3" spans="1:9">
      <c r="A3" s="4" t="s">
        <v>7</v>
      </c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21" t="s">
        <v>13</v>
      </c>
      <c r="H3" s="4" t="s">
        <v>14</v>
      </c>
      <c r="I3" s="5" t="s">
        <v>15</v>
      </c>
    </row>
    <row r="4" spans="1:9">
      <c r="A4" s="4" t="s">
        <v>19</v>
      </c>
      <c r="B4" s="4" t="s">
        <v>20</v>
      </c>
      <c r="C4" s="4" t="s">
        <v>21</v>
      </c>
      <c r="D4" s="6">
        <v>45809</v>
      </c>
      <c r="E4" s="4">
        <v>60</v>
      </c>
      <c r="F4" s="7">
        <v>1500000</v>
      </c>
      <c r="G4" s="23">
        <v>52</v>
      </c>
      <c r="H4" s="8">
        <f t="shared" ref="H4:H13" si="0">F4*G4</f>
        <v>78000000</v>
      </c>
      <c r="I4" s="9">
        <f t="shared" ref="I4:I14" si="1">H4*$H$16</f>
        <v>17056636.781106498</v>
      </c>
    </row>
    <row r="5" spans="1:9">
      <c r="A5" s="4" t="s">
        <v>18</v>
      </c>
      <c r="B5" s="4" t="s">
        <v>23</v>
      </c>
      <c r="C5" s="4" t="s">
        <v>24</v>
      </c>
      <c r="D5" s="6">
        <v>45809</v>
      </c>
      <c r="E5" s="4">
        <v>80</v>
      </c>
      <c r="F5" s="7">
        <v>350000</v>
      </c>
      <c r="G5" s="23">
        <v>54</v>
      </c>
      <c r="H5" s="8">
        <f t="shared" si="0"/>
        <v>18900000</v>
      </c>
      <c r="I5" s="9">
        <f t="shared" si="1"/>
        <v>4132954.2969604204</v>
      </c>
    </row>
    <row r="6" spans="1:9">
      <c r="A6" s="4" t="s">
        <v>25</v>
      </c>
      <c r="B6" s="4" t="s">
        <v>26</v>
      </c>
      <c r="C6" s="4" t="s">
        <v>27</v>
      </c>
      <c r="D6" s="6">
        <v>45808</v>
      </c>
      <c r="E6" s="4">
        <v>60</v>
      </c>
      <c r="F6" s="7">
        <v>1500000</v>
      </c>
      <c r="G6" s="23">
        <v>50</v>
      </c>
      <c r="H6" s="8">
        <f t="shared" si="0"/>
        <v>75000000</v>
      </c>
      <c r="I6" s="9">
        <f t="shared" si="1"/>
        <v>16400612.289525477</v>
      </c>
    </row>
    <row r="7" spans="1:9">
      <c r="A7" s="4" t="s">
        <v>19</v>
      </c>
      <c r="B7" s="4" t="s">
        <v>17</v>
      </c>
      <c r="C7" s="4" t="s">
        <v>28</v>
      </c>
      <c r="D7" s="6">
        <v>45808</v>
      </c>
      <c r="E7" s="4">
        <v>60</v>
      </c>
      <c r="F7" s="7">
        <v>1500000</v>
      </c>
      <c r="G7" s="23">
        <v>55</v>
      </c>
      <c r="H7" s="8">
        <f t="shared" si="0"/>
        <v>82500000</v>
      </c>
      <c r="I7" s="9">
        <f t="shared" si="1"/>
        <v>18040673.518478025</v>
      </c>
    </row>
    <row r="8" spans="1:9">
      <c r="A8" s="4" t="s">
        <v>16</v>
      </c>
      <c r="B8" s="4" t="s">
        <v>29</v>
      </c>
      <c r="C8" s="4" t="s">
        <v>30</v>
      </c>
      <c r="D8" s="6">
        <v>45808</v>
      </c>
      <c r="E8" s="4">
        <v>40</v>
      </c>
      <c r="F8" s="7">
        <v>280000</v>
      </c>
      <c r="G8" s="23">
        <v>24</v>
      </c>
      <c r="H8" s="8">
        <f t="shared" si="0"/>
        <v>6720000</v>
      </c>
      <c r="I8" s="9">
        <f t="shared" si="1"/>
        <v>1469494.8611414828</v>
      </c>
    </row>
    <row r="9" spans="1:9">
      <c r="A9" s="4" t="s">
        <v>18</v>
      </c>
      <c r="B9" s="4" t="s">
        <v>31</v>
      </c>
      <c r="C9" s="4" t="s">
        <v>32</v>
      </c>
      <c r="D9" s="6">
        <v>45809</v>
      </c>
      <c r="E9" s="4">
        <v>50</v>
      </c>
      <c r="F9" s="7">
        <v>350000</v>
      </c>
      <c r="G9" s="23">
        <v>40</v>
      </c>
      <c r="H9" s="8">
        <f t="shared" si="0"/>
        <v>14000000</v>
      </c>
      <c r="I9" s="9">
        <f t="shared" si="1"/>
        <v>3061447.6273780894</v>
      </c>
    </row>
    <row r="10" spans="1:9">
      <c r="A10" s="4" t="s">
        <v>33</v>
      </c>
      <c r="B10" s="4" t="s">
        <v>34</v>
      </c>
      <c r="C10" s="4" t="s">
        <v>35</v>
      </c>
      <c r="D10" s="6">
        <v>45809</v>
      </c>
      <c r="E10" s="4">
        <v>30</v>
      </c>
      <c r="F10" s="7">
        <v>280000</v>
      </c>
      <c r="G10" s="23">
        <v>21</v>
      </c>
      <c r="H10" s="8">
        <f t="shared" si="0"/>
        <v>5880000</v>
      </c>
      <c r="I10" s="9">
        <f t="shared" si="1"/>
        <v>1285808.0034987975</v>
      </c>
    </row>
    <row r="11" spans="1:9">
      <c r="A11" s="4" t="s">
        <v>25</v>
      </c>
      <c r="B11" s="4" t="s">
        <v>36</v>
      </c>
      <c r="C11" s="4" t="s">
        <v>37</v>
      </c>
      <c r="D11" s="6">
        <v>45809</v>
      </c>
      <c r="E11" s="4">
        <v>80</v>
      </c>
      <c r="F11" s="7">
        <v>1500000</v>
      </c>
      <c r="G11" s="23">
        <v>64</v>
      </c>
      <c r="H11" s="8">
        <f t="shared" si="0"/>
        <v>96000000</v>
      </c>
      <c r="I11" s="9">
        <f t="shared" si="1"/>
        <v>20992783.730592612</v>
      </c>
    </row>
    <row r="12" spans="1:9">
      <c r="A12" s="4" t="s">
        <v>16</v>
      </c>
      <c r="B12" s="4" t="s">
        <v>38</v>
      </c>
      <c r="C12" s="4" t="s">
        <v>39</v>
      </c>
      <c r="D12" s="6">
        <v>45809</v>
      </c>
      <c r="E12" s="4">
        <v>50</v>
      </c>
      <c r="F12" s="7">
        <v>280000</v>
      </c>
      <c r="G12" s="23">
        <v>35</v>
      </c>
      <c r="H12" s="8">
        <f t="shared" si="0"/>
        <v>9800000</v>
      </c>
      <c r="I12" s="9">
        <f t="shared" si="1"/>
        <v>2143013.3391646626</v>
      </c>
    </row>
    <row r="13" spans="1:9">
      <c r="A13" s="4" t="s">
        <v>25</v>
      </c>
      <c r="B13" s="4" t="s">
        <v>22</v>
      </c>
      <c r="C13" s="4" t="s">
        <v>40</v>
      </c>
      <c r="D13" s="6">
        <v>45809</v>
      </c>
      <c r="E13" s="4">
        <v>60</v>
      </c>
      <c r="F13" s="7">
        <v>1500000</v>
      </c>
      <c r="G13" s="23">
        <v>47</v>
      </c>
      <c r="H13" s="8">
        <f t="shared" si="0"/>
        <v>70500000</v>
      </c>
      <c r="I13" s="9">
        <f t="shared" si="1"/>
        <v>15416575.552153949</v>
      </c>
    </row>
    <row r="14" spans="1:9">
      <c r="A14" s="61" t="s">
        <v>41</v>
      </c>
      <c r="B14" s="61"/>
      <c r="C14" s="61"/>
      <c r="D14" s="61"/>
      <c r="E14" s="61"/>
      <c r="F14" s="61"/>
      <c r="G14" s="61"/>
      <c r="H14" s="8">
        <f>SUM(H4:H13)</f>
        <v>457300000</v>
      </c>
      <c r="I14" s="9">
        <f t="shared" si="1"/>
        <v>100000000.00000001</v>
      </c>
    </row>
    <row r="15" spans="1:9">
      <c r="A15" s="3"/>
      <c r="B15" s="3"/>
      <c r="C15" s="3"/>
      <c r="D15" s="3"/>
      <c r="E15" s="3"/>
      <c r="F15" s="3"/>
      <c r="G15" s="3"/>
      <c r="H15" s="3"/>
    </row>
    <row r="16" spans="1:9">
      <c r="F16" s="3"/>
      <c r="G16" s="4" t="s">
        <v>42</v>
      </c>
      <c r="H16" s="62">
        <v>0.21867483052700637</v>
      </c>
      <c r="I16" s="62"/>
    </row>
  </sheetData>
  <mergeCells count="3">
    <mergeCell ref="A1:I1"/>
    <mergeCell ref="A14:G14"/>
    <mergeCell ref="H16:I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17"/>
  <sheetViews>
    <sheetView workbookViewId="0"/>
  </sheetViews>
  <sheetFormatPr defaultRowHeight="16.5"/>
  <cols>
    <col min="1" max="1" width="36" bestFit="1" customWidth="1"/>
    <col min="2" max="2" width="21.625" bestFit="1" customWidth="1"/>
    <col min="3" max="3" width="9.875" customWidth="1"/>
  </cols>
  <sheetData>
    <row r="2" spans="1:3">
      <c r="A2" s="26" t="s">
        <v>45</v>
      </c>
      <c r="B2" s="26" t="s">
        <v>46</v>
      </c>
      <c r="C2" s="26" t="s">
        <v>77</v>
      </c>
    </row>
    <row r="3" spans="1:3">
      <c r="A3" s="10" t="s">
        <v>47</v>
      </c>
      <c r="B3" s="10" t="s">
        <v>48</v>
      </c>
      <c r="C3" s="24">
        <v>2015</v>
      </c>
    </row>
    <row r="4" spans="1:3">
      <c r="A4" s="10" t="s">
        <v>49</v>
      </c>
      <c r="B4" s="10" t="s">
        <v>50</v>
      </c>
      <c r="C4" s="25">
        <v>2015</v>
      </c>
    </row>
    <row r="5" spans="1:3">
      <c r="A5" s="10" t="s">
        <v>51</v>
      </c>
      <c r="B5" s="10" t="s">
        <v>52</v>
      </c>
      <c r="C5" s="24">
        <v>2015</v>
      </c>
    </row>
    <row r="6" spans="1:3">
      <c r="A6" s="10" t="s">
        <v>53</v>
      </c>
      <c r="B6" s="10" t="s">
        <v>54</v>
      </c>
      <c r="C6" s="24">
        <v>2015</v>
      </c>
    </row>
    <row r="7" spans="1:3">
      <c r="A7" s="10" t="s">
        <v>55</v>
      </c>
      <c r="B7" s="10" t="s">
        <v>56</v>
      </c>
      <c r="C7" s="24">
        <v>2013</v>
      </c>
    </row>
    <row r="8" spans="1:3">
      <c r="A8" s="10" t="s">
        <v>57</v>
      </c>
      <c r="B8" s="10" t="s">
        <v>58</v>
      </c>
      <c r="C8" s="25">
        <v>2016</v>
      </c>
    </row>
    <row r="9" spans="1:3">
      <c r="A9" s="10" t="s">
        <v>59</v>
      </c>
      <c r="B9" s="10" t="s">
        <v>60</v>
      </c>
      <c r="C9" s="24">
        <v>2016</v>
      </c>
    </row>
    <row r="10" spans="1:3">
      <c r="A10" s="10" t="s">
        <v>61</v>
      </c>
      <c r="B10" s="10" t="s">
        <v>62</v>
      </c>
      <c r="C10" s="24">
        <v>2012</v>
      </c>
    </row>
    <row r="11" spans="1:3">
      <c r="A11" s="10" t="s">
        <v>63</v>
      </c>
      <c r="B11" s="10" t="s">
        <v>64</v>
      </c>
      <c r="C11" s="24">
        <v>2015</v>
      </c>
    </row>
    <row r="12" spans="1:3">
      <c r="A12" s="10" t="s">
        <v>65</v>
      </c>
      <c r="B12" s="10" t="s">
        <v>66</v>
      </c>
      <c r="C12" s="24">
        <v>2016</v>
      </c>
    </row>
    <row r="13" spans="1:3">
      <c r="A13" s="10" t="s">
        <v>67</v>
      </c>
      <c r="B13" s="10" t="s">
        <v>68</v>
      </c>
      <c r="C13" s="24">
        <v>2015</v>
      </c>
    </row>
    <row r="14" spans="1:3">
      <c r="A14" s="10" t="s">
        <v>69</v>
      </c>
      <c r="B14" s="10" t="s">
        <v>70</v>
      </c>
      <c r="C14" s="24">
        <v>2015</v>
      </c>
    </row>
    <row r="15" spans="1:3">
      <c r="A15" s="10" t="s">
        <v>71</v>
      </c>
      <c r="B15" s="10" t="s">
        <v>72</v>
      </c>
      <c r="C15" s="24">
        <v>2016</v>
      </c>
    </row>
    <row r="16" spans="1:3">
      <c r="A16" s="10" t="s">
        <v>73</v>
      </c>
      <c r="B16" s="10" t="s">
        <v>74</v>
      </c>
      <c r="C16" s="24">
        <v>2013</v>
      </c>
    </row>
    <row r="17" spans="1:3">
      <c r="A17" s="10" t="s">
        <v>75</v>
      </c>
      <c r="B17" s="10" t="s">
        <v>76</v>
      </c>
      <c r="C17" s="25">
        <v>2016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테두리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F7"/>
  <sheetViews>
    <sheetView workbookViewId="0"/>
  </sheetViews>
  <sheetFormatPr defaultRowHeight="16.5"/>
  <cols>
    <col min="2" max="2" width="17.75" bestFit="1" customWidth="1"/>
  </cols>
  <sheetData>
    <row r="2" spans="2:6">
      <c r="B2" t="s">
        <v>175</v>
      </c>
    </row>
    <row r="4" spans="2:6">
      <c r="B4" s="1" t="s">
        <v>0</v>
      </c>
      <c r="C4" s="1" t="s">
        <v>1</v>
      </c>
      <c r="D4" s="1" t="s">
        <v>2</v>
      </c>
      <c r="E4" s="1" t="s">
        <v>281</v>
      </c>
      <c r="F4" s="1" t="s">
        <v>282</v>
      </c>
    </row>
    <row r="5" spans="2:6">
      <c r="B5" s="1" t="s">
        <v>3</v>
      </c>
      <c r="C5" s="2">
        <v>4125</v>
      </c>
      <c r="D5" s="2">
        <v>3248</v>
      </c>
      <c r="E5" s="2">
        <v>3550</v>
      </c>
      <c r="F5" s="2">
        <v>4358</v>
      </c>
    </row>
    <row r="6" spans="2:6">
      <c r="B6" s="1" t="s">
        <v>4</v>
      </c>
      <c r="C6" s="2">
        <v>2120</v>
      </c>
      <c r="D6" s="2">
        <v>3592</v>
      </c>
      <c r="E6" s="2">
        <v>2621</v>
      </c>
      <c r="F6" s="2">
        <v>1850</v>
      </c>
    </row>
    <row r="7" spans="2:6">
      <c r="B7" s="1" t="s">
        <v>5</v>
      </c>
      <c r="C7" s="2">
        <v>1020</v>
      </c>
      <c r="D7" s="2">
        <v>1150</v>
      </c>
      <c r="E7" s="2">
        <v>2750</v>
      </c>
      <c r="F7" s="2">
        <v>1820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'기본작업-3'!거래처</vt:lpstr>
      <vt:lpstr>불량률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2023-10-12T10:53:23Z</dcterms:modified>
</cp:coreProperties>
</file>