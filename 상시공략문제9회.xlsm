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상시공략문제\"/>
    </mc:Choice>
  </mc:AlternateContent>
  <xr:revisionPtr revIDLastSave="0" documentId="13_ncr:1_{819F04B8-C836-42D5-B6FB-7576FEC4D10E}" xr6:coauthVersionLast="47" xr6:coauthVersionMax="47" xr10:uidLastSave="{00000000-0000-0000-0000-000000000000}"/>
  <bookViews>
    <workbookView xWindow="390" yWindow="390" windowWidth="16800" windowHeight="13800" tabRatio="818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10" r:id="rId4"/>
    <sheet name="분석작업-1" sheetId="9" r:id="rId5"/>
    <sheet name="분석작업-2" sheetId="6" r:id="rId6"/>
    <sheet name="매크로작업" sheetId="7" r:id="rId7"/>
    <sheet name="차트작업" sheetId="8" r:id="rId8"/>
  </sheets>
  <definedNames>
    <definedName name="거래처" localSheetId="2">'기본작업-3'!$A$3:$F$11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2" i="10" l="1"/>
  <c r="L11" i="10"/>
  <c r="L10" i="10"/>
  <c r="L9" i="10"/>
  <c r="L8" i="10"/>
  <c r="L7" i="10"/>
  <c r="L6" i="10"/>
  <c r="L5" i="10"/>
  <c r="L4" i="10"/>
  <c r="L3" i="10"/>
  <c r="H13" i="6" l="1"/>
  <c r="I13" i="6" s="1"/>
  <c r="H12" i="6"/>
  <c r="I12" i="6" s="1"/>
  <c r="H11" i="6"/>
  <c r="I11" i="6" s="1"/>
  <c r="H10" i="6"/>
  <c r="I10" i="6" s="1"/>
  <c r="H9" i="6"/>
  <c r="I9" i="6" s="1"/>
  <c r="H8" i="6"/>
  <c r="I8" i="6" s="1"/>
  <c r="H7" i="6"/>
  <c r="H6" i="6"/>
  <c r="I6" i="6" s="1"/>
  <c r="H5" i="6"/>
  <c r="I5" i="6" s="1"/>
  <c r="H4" i="6"/>
  <c r="I4" i="6" s="1"/>
  <c r="H14" i="6" l="1"/>
  <c r="I14" i="6" s="1"/>
  <c r="I7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거래처" type="6" refreshedVersion="6" background="1" saveData="1">
    <textPr codePage="949" sourceFile="E:\영진(2022년)\기출예상문제집\2급\2급1회\거래처.txt">
      <textFields count="7">
        <textField/>
        <textField type="skip"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<sst xmlns="http://schemas.openxmlformats.org/spreadsheetml/2006/main" count="368" uniqueCount="273">
  <si>
    <t>구분</t>
  </si>
  <si>
    <t>2021년</t>
    <phoneticPr fontId="1" type="noConversion"/>
  </si>
  <si>
    <t>2022년</t>
    <phoneticPr fontId="1" type="noConversion"/>
  </si>
  <si>
    <t>현역</t>
    <phoneticPr fontId="1" type="noConversion"/>
  </si>
  <si>
    <t>보충역</t>
    <phoneticPr fontId="1" type="noConversion"/>
  </si>
  <si>
    <t>전시근로역</t>
    <phoneticPr fontId="1" type="noConversion"/>
  </si>
  <si>
    <t>복합기</t>
  </si>
  <si>
    <t>지역명</t>
    <phoneticPr fontId="1" type="noConversion"/>
  </si>
  <si>
    <t>아파트명</t>
    <phoneticPr fontId="1" type="noConversion"/>
  </si>
  <si>
    <t>거래종류</t>
    <phoneticPr fontId="1" type="noConversion"/>
  </si>
  <si>
    <t>전용면적</t>
    <phoneticPr fontId="1" type="noConversion"/>
  </si>
  <si>
    <t>규모</t>
    <phoneticPr fontId="1" type="noConversion"/>
  </si>
  <si>
    <t>거래가</t>
    <phoneticPr fontId="1" type="noConversion"/>
  </si>
  <si>
    <t>층수</t>
    <phoneticPr fontId="1" type="noConversion"/>
  </si>
  <si>
    <t>입주일</t>
    <phoneticPr fontId="1" type="noConversion"/>
  </si>
  <si>
    <t>세대수</t>
    <phoneticPr fontId="1" type="noConversion"/>
  </si>
  <si>
    <t>군포시</t>
    <phoneticPr fontId="1" type="noConversion"/>
  </si>
  <si>
    <t>e-편한세상</t>
    <phoneticPr fontId="1" type="noConversion"/>
  </si>
  <si>
    <t>매매</t>
    <phoneticPr fontId="1" type="noConversion"/>
  </si>
  <si>
    <t>대형</t>
    <phoneticPr fontId="1" type="noConversion"/>
  </si>
  <si>
    <t>수원시</t>
    <phoneticPr fontId="1" type="noConversion"/>
  </si>
  <si>
    <t>I-PARK</t>
    <phoneticPr fontId="1" type="noConversion"/>
  </si>
  <si>
    <t>소형</t>
    <phoneticPr fontId="1" type="noConversion"/>
  </si>
  <si>
    <t>남양주시</t>
    <phoneticPr fontId="1" type="noConversion"/>
  </si>
  <si>
    <t>푸르지오</t>
    <phoneticPr fontId="1" type="noConversion"/>
  </si>
  <si>
    <t>중형</t>
    <phoneticPr fontId="1" type="noConversion"/>
  </si>
  <si>
    <t>구리시</t>
    <phoneticPr fontId="1" type="noConversion"/>
  </si>
  <si>
    <t>안양시</t>
    <phoneticPr fontId="1" type="noConversion"/>
  </si>
  <si>
    <t>주공</t>
    <phoneticPr fontId="1" type="noConversion"/>
  </si>
  <si>
    <t>전세</t>
    <phoneticPr fontId="1" type="noConversion"/>
  </si>
  <si>
    <t>소형</t>
    <phoneticPr fontId="1" type="noConversion"/>
  </si>
  <si>
    <t>성남시</t>
    <phoneticPr fontId="1" type="noConversion"/>
  </si>
  <si>
    <t>I-PARK</t>
    <phoneticPr fontId="1" type="noConversion"/>
  </si>
  <si>
    <t>래미안</t>
    <phoneticPr fontId="1" type="noConversion"/>
  </si>
  <si>
    <t>중형</t>
    <phoneticPr fontId="1" type="noConversion"/>
  </si>
  <si>
    <t>용인시</t>
    <phoneticPr fontId="1" type="noConversion"/>
  </si>
  <si>
    <t>푸르지오</t>
    <phoneticPr fontId="1" type="noConversion"/>
  </si>
  <si>
    <t>e-편한세상</t>
    <phoneticPr fontId="1" type="noConversion"/>
  </si>
  <si>
    <t>비발디</t>
    <phoneticPr fontId="1" type="noConversion"/>
  </si>
  <si>
    <t>힐스테이트</t>
    <phoneticPr fontId="1" type="noConversion"/>
  </si>
  <si>
    <t>자이</t>
    <phoneticPr fontId="1" type="noConversion"/>
  </si>
  <si>
    <t>서명</t>
  </si>
  <si>
    <t>저자</t>
  </si>
  <si>
    <t>빼꼼 아저씨네 동물원</t>
  </si>
  <si>
    <t>케빈 월드론</t>
  </si>
  <si>
    <t>새 하늘과 새 땅</t>
  </si>
  <si>
    <t>리처드 미들턴</t>
  </si>
  <si>
    <t>섬을 탈출하는 방법</t>
  </si>
  <si>
    <t>조형근, 김종배</t>
  </si>
  <si>
    <t>스웨덴 엄마의 말하기 수업</t>
  </si>
  <si>
    <t>페트라 크란츠 린드그렌</t>
  </si>
  <si>
    <t>아바타 나영일</t>
    <phoneticPr fontId="6" type="noConversion"/>
  </si>
  <si>
    <t>박상재</t>
    <phoneticPr fontId="6" type="noConversion"/>
  </si>
  <si>
    <t>알라</t>
    <phoneticPr fontId="6" type="noConversion"/>
  </si>
  <si>
    <t>미로슬라브 볼프</t>
  </si>
  <si>
    <t>인성이 실력이다</t>
    <phoneticPr fontId="6" type="noConversion"/>
  </si>
  <si>
    <t>조벽</t>
    <phoneticPr fontId="6" type="noConversion"/>
  </si>
  <si>
    <t>자본에 관한 불편한 진실</t>
    <phoneticPr fontId="6" type="noConversion"/>
  </si>
  <si>
    <t>정철진</t>
    <phoneticPr fontId="6" type="noConversion"/>
  </si>
  <si>
    <t>잠자고 싶은 토끼</t>
    <phoneticPr fontId="6" type="noConversion"/>
  </si>
  <si>
    <t>칼 요한 포센 엘린</t>
  </si>
  <si>
    <t>조금만 기다려봐</t>
  </si>
  <si>
    <t>케빈 행크스</t>
  </si>
  <si>
    <t>지식재산 금융과 법제도</t>
  </si>
  <si>
    <t>김승열</t>
  </si>
  <si>
    <t>프라이다이나믹스</t>
  </si>
  <si>
    <t>고형준</t>
  </si>
  <si>
    <t>프랑스 여자는 늙지 않는다</t>
  </si>
  <si>
    <t>미리유 길리아노</t>
  </si>
  <si>
    <t>학교를 개선하는 교사</t>
    <phoneticPr fontId="6" type="noConversion"/>
  </si>
  <si>
    <t>마이클 풀란</t>
    <phoneticPr fontId="6" type="noConversion"/>
  </si>
  <si>
    <t>행운 연습</t>
  </si>
  <si>
    <t>류쉬안</t>
  </si>
  <si>
    <t>출판년도</t>
    <phoneticPr fontId="1" type="noConversion"/>
  </si>
  <si>
    <t>아로마 오일(AROMA OIL)</t>
    <phoneticPr fontId="1" type="noConversion"/>
  </si>
  <si>
    <t>월별</t>
    <phoneticPr fontId="1" type="noConversion"/>
  </si>
  <si>
    <t>상품명</t>
    <phoneticPr fontId="1" type="noConversion"/>
  </si>
  <si>
    <t>생산량</t>
    <phoneticPr fontId="1" type="noConversion"/>
  </si>
  <si>
    <t>불량률</t>
    <phoneticPr fontId="1" type="noConversion"/>
  </si>
  <si>
    <t>재고량</t>
    <phoneticPr fontId="1" type="noConversion"/>
  </si>
  <si>
    <t>총보유량</t>
    <phoneticPr fontId="1" type="noConversion"/>
  </si>
  <si>
    <t>생산단가</t>
    <phoneticPr fontId="1" type="noConversion"/>
  </si>
  <si>
    <t>선호도</t>
    <phoneticPr fontId="1" type="noConversion"/>
  </si>
  <si>
    <t>GW-004</t>
  </si>
  <si>
    <t>TA-005</t>
  </si>
  <si>
    <t>합  계</t>
    <phoneticPr fontId="6" type="noConversion"/>
  </si>
  <si>
    <t>4월</t>
    <phoneticPr fontId="6" type="noConversion"/>
  </si>
  <si>
    <t>5월</t>
    <phoneticPr fontId="6" type="noConversion"/>
  </si>
  <si>
    <t>6월</t>
    <phoneticPr fontId="6" type="noConversion"/>
  </si>
  <si>
    <t>TP-001</t>
  </si>
  <si>
    <t>YB-002</t>
  </si>
  <si>
    <t>SK-003</t>
  </si>
  <si>
    <t>공기청정기 생산현황</t>
    <phoneticPr fontId="1" type="noConversion"/>
  </si>
  <si>
    <t>경기도 아파트 거래 현황</t>
    <phoneticPr fontId="1" type="noConversion"/>
  </si>
  <si>
    <t>전자제품 판매현황</t>
    <phoneticPr fontId="6" type="noConversion"/>
  </si>
  <si>
    <t>제품명</t>
    <phoneticPr fontId="6" type="noConversion"/>
  </si>
  <si>
    <t>지역</t>
    <phoneticPr fontId="6" type="noConversion"/>
  </si>
  <si>
    <t>담당자</t>
    <phoneticPr fontId="1" type="noConversion"/>
  </si>
  <si>
    <t>입고일</t>
    <phoneticPr fontId="1" type="noConversion"/>
  </si>
  <si>
    <t>입고량</t>
    <phoneticPr fontId="1" type="noConversion"/>
  </si>
  <si>
    <t>판매단가</t>
    <phoneticPr fontId="6" type="noConversion"/>
  </si>
  <si>
    <t>판매량</t>
    <phoneticPr fontId="6" type="noConversion"/>
  </si>
  <si>
    <t>매출액</t>
    <phoneticPr fontId="6" type="noConversion"/>
  </si>
  <si>
    <t>순이익</t>
    <phoneticPr fontId="1" type="noConversion"/>
  </si>
  <si>
    <t>노트북</t>
    <phoneticPr fontId="1" type="noConversion"/>
  </si>
  <si>
    <t>서울</t>
    <phoneticPr fontId="1" type="noConversion"/>
  </si>
  <si>
    <t>남세연</t>
    <phoneticPr fontId="1" type="noConversion"/>
  </si>
  <si>
    <t>부산</t>
    <phoneticPr fontId="1" type="noConversion"/>
  </si>
  <si>
    <t>문지섭</t>
    <phoneticPr fontId="1" type="noConversion"/>
  </si>
  <si>
    <t>노트북</t>
    <phoneticPr fontId="1" type="noConversion"/>
  </si>
  <si>
    <t>강원</t>
    <phoneticPr fontId="1" type="noConversion"/>
  </si>
  <si>
    <t>박세균</t>
    <phoneticPr fontId="1" type="noConversion"/>
  </si>
  <si>
    <t>광주</t>
    <phoneticPr fontId="1" type="noConversion"/>
  </si>
  <si>
    <t>송미율</t>
    <phoneticPr fontId="1" type="noConversion"/>
  </si>
  <si>
    <t>프린터</t>
    <phoneticPr fontId="1" type="noConversion"/>
  </si>
  <si>
    <t>강원</t>
    <phoneticPr fontId="1" type="noConversion"/>
  </si>
  <si>
    <t>신수라</t>
    <phoneticPr fontId="1" type="noConversion"/>
  </si>
  <si>
    <t>서울</t>
    <phoneticPr fontId="1" type="noConversion"/>
  </si>
  <si>
    <t>유지원</t>
    <phoneticPr fontId="1" type="noConversion"/>
  </si>
  <si>
    <t>프린터</t>
    <phoneticPr fontId="1" type="noConversion"/>
  </si>
  <si>
    <t>경기</t>
    <phoneticPr fontId="1" type="noConversion"/>
  </si>
  <si>
    <t>이설화</t>
    <phoneticPr fontId="1" type="noConversion"/>
  </si>
  <si>
    <t>노트북</t>
    <phoneticPr fontId="1" type="noConversion"/>
  </si>
  <si>
    <t>경기</t>
    <phoneticPr fontId="1" type="noConversion"/>
  </si>
  <si>
    <t>조강민</t>
    <phoneticPr fontId="1" type="noConversion"/>
  </si>
  <si>
    <t>한기석</t>
    <phoneticPr fontId="1" type="noConversion"/>
  </si>
  <si>
    <t>허남용</t>
    <phoneticPr fontId="1" type="noConversion"/>
  </si>
  <si>
    <t>합계</t>
    <phoneticPr fontId="6" type="noConversion"/>
  </si>
  <si>
    <t>이익률</t>
    <phoneticPr fontId="6" type="noConversion"/>
  </si>
  <si>
    <t>병역 판정검사 현황</t>
    <phoneticPr fontId="1" type="noConversion"/>
  </si>
  <si>
    <t>3회</t>
  </si>
  <si>
    <t>4회</t>
  </si>
  <si>
    <t>O</t>
    <phoneticPr fontId="1" type="noConversion"/>
  </si>
  <si>
    <t>O</t>
    <phoneticPr fontId="1" type="noConversion"/>
  </si>
  <si>
    <t>오시포바</t>
    <phoneticPr fontId="1" type="noConversion"/>
  </si>
  <si>
    <t>강채영</t>
    <phoneticPr fontId="1" type="noConversion"/>
  </si>
  <si>
    <t>브라운</t>
    <phoneticPr fontId="1" type="noConversion"/>
  </si>
  <si>
    <t>쿠마리</t>
    <phoneticPr fontId="1" type="noConversion"/>
  </si>
  <si>
    <t>아나고즈</t>
    <phoneticPr fontId="1" type="noConversion"/>
  </si>
  <si>
    <t xml:space="preserve">[표3] </t>
    <phoneticPr fontId="1" type="noConversion"/>
  </si>
  <si>
    <t>포장박스 사용계획표</t>
    <phoneticPr fontId="1" type="noConversion"/>
  </si>
  <si>
    <t>[표4]</t>
    <phoneticPr fontId="1" type="noConversion"/>
  </si>
  <si>
    <t>지점별 판매현황</t>
    <phoneticPr fontId="1" type="noConversion"/>
  </si>
  <si>
    <t>박스종류</t>
    <phoneticPr fontId="1" type="noConversion"/>
  </si>
  <si>
    <t>작업코드</t>
    <phoneticPr fontId="1" type="noConversion"/>
  </si>
  <si>
    <t>박스재고</t>
    <phoneticPr fontId="1" type="noConversion"/>
  </si>
  <si>
    <t>일수(나머지)</t>
    <phoneticPr fontId="1" type="noConversion"/>
  </si>
  <si>
    <t>지점코드</t>
  </si>
  <si>
    <t>판매량</t>
    <phoneticPr fontId="1" type="noConversion"/>
  </si>
  <si>
    <t>단가</t>
    <phoneticPr fontId="1" type="noConversion"/>
  </si>
  <si>
    <t>매출액</t>
  </si>
  <si>
    <t>지역</t>
  </si>
  <si>
    <t>BIG-01</t>
    <phoneticPr fontId="1" type="noConversion"/>
  </si>
  <si>
    <t>22B001</t>
    <phoneticPr fontId="1" type="noConversion"/>
  </si>
  <si>
    <t>SML-01</t>
    <phoneticPr fontId="1" type="noConversion"/>
  </si>
  <si>
    <t>22B003</t>
  </si>
  <si>
    <t>A-S-01</t>
    <phoneticPr fontId="1" type="noConversion"/>
  </si>
  <si>
    <t>BIG-02</t>
    <phoneticPr fontId="1" type="noConversion"/>
  </si>
  <si>
    <t>22B004</t>
  </si>
  <si>
    <t>A-E-02</t>
    <phoneticPr fontId="1" type="noConversion"/>
  </si>
  <si>
    <t>SML-02</t>
    <phoneticPr fontId="1" type="noConversion"/>
  </si>
  <si>
    <t>22B005</t>
  </si>
  <si>
    <t>&lt;코드표&gt;</t>
  </si>
  <si>
    <t>22B006</t>
  </si>
  <si>
    <t>코드</t>
  </si>
  <si>
    <t>22B007</t>
  </si>
  <si>
    <t>22B008</t>
  </si>
  <si>
    <t>22B009</t>
  </si>
  <si>
    <t>강북</t>
    <phoneticPr fontId="1" type="noConversion"/>
  </si>
  <si>
    <t>태블릿</t>
    <phoneticPr fontId="1" type="noConversion"/>
  </si>
  <si>
    <t>워치</t>
    <phoneticPr fontId="1" type="noConversion"/>
  </si>
  <si>
    <t>강북지점</t>
    <phoneticPr fontId="1" type="noConversion"/>
  </si>
  <si>
    <t>최은영</t>
  </si>
  <si>
    <t>김성철</t>
  </si>
  <si>
    <t>김진혁</t>
  </si>
  <si>
    <t>이진아</t>
  </si>
  <si>
    <t>진성우</t>
  </si>
  <si>
    <t>이민우</t>
  </si>
  <si>
    <t>김철민</t>
  </si>
  <si>
    <t>강남지점</t>
    <phoneticPr fontId="1" type="noConversion"/>
  </si>
  <si>
    <t>박사랑</t>
  </si>
  <si>
    <t>김봉수</t>
  </si>
  <si>
    <t>강남지점 판매원들의 스마트폰 판매 평균</t>
    <phoneticPr fontId="1" type="noConversion"/>
  </si>
  <si>
    <t>[표1]</t>
    <phoneticPr fontId="1" type="noConversion"/>
  </si>
  <si>
    <t>교양수업 이수현황</t>
    <phoneticPr fontId="1" type="noConversion"/>
  </si>
  <si>
    <t>[표2]</t>
    <phoneticPr fontId="1" type="noConversion"/>
  </si>
  <si>
    <t>양궁 1세트 결과</t>
    <phoneticPr fontId="1" type="noConversion"/>
  </si>
  <si>
    <t>학번</t>
    <phoneticPr fontId="1" type="noConversion"/>
  </si>
  <si>
    <t>수업출석</t>
    <phoneticPr fontId="1" type="noConversion"/>
  </si>
  <si>
    <t>이수여부</t>
    <phoneticPr fontId="1" type="noConversion"/>
  </si>
  <si>
    <t>선수명</t>
    <phoneticPr fontId="1" type="noConversion"/>
  </si>
  <si>
    <t>1차</t>
    <phoneticPr fontId="1" type="noConversion"/>
  </si>
  <si>
    <t>2차</t>
    <phoneticPr fontId="1" type="noConversion"/>
  </si>
  <si>
    <t>3차</t>
    <phoneticPr fontId="1" type="noConversion"/>
  </si>
  <si>
    <t>합계</t>
    <phoneticPr fontId="1" type="noConversion"/>
  </si>
  <si>
    <t>순위</t>
    <phoneticPr fontId="1" type="noConversion"/>
  </si>
  <si>
    <t>1회</t>
    <phoneticPr fontId="1" type="noConversion"/>
  </si>
  <si>
    <t>2회</t>
    <phoneticPr fontId="1" type="noConversion"/>
  </si>
  <si>
    <t>안산</t>
    <phoneticPr fontId="1" type="noConversion"/>
  </si>
  <si>
    <t>O</t>
    <phoneticPr fontId="1" type="noConversion"/>
  </si>
  <si>
    <t>발렌시아</t>
    <phoneticPr fontId="1" type="noConversion"/>
  </si>
  <si>
    <t>O</t>
    <phoneticPr fontId="1" type="noConversion"/>
  </si>
  <si>
    <t>보아리</t>
    <phoneticPr fontId="1" type="noConversion"/>
  </si>
  <si>
    <t>우지아신</t>
    <phoneticPr fontId="1" type="noConversion"/>
  </si>
  <si>
    <t>바베린</t>
    <phoneticPr fontId="1" type="noConversion"/>
  </si>
  <si>
    <t>일사용량</t>
    <phoneticPr fontId="1" type="noConversion"/>
  </si>
  <si>
    <t>A-E-01</t>
    <phoneticPr fontId="1" type="noConversion"/>
  </si>
  <si>
    <t>MID-01</t>
    <phoneticPr fontId="1" type="noConversion"/>
  </si>
  <si>
    <t>22B002</t>
    <phoneticPr fontId="1" type="noConversion"/>
  </si>
  <si>
    <t>A-W-01</t>
    <phoneticPr fontId="1" type="noConversion"/>
  </si>
  <si>
    <t>A-N-01</t>
    <phoneticPr fontId="1" type="noConversion"/>
  </si>
  <si>
    <t>MID-02</t>
    <phoneticPr fontId="1" type="noConversion"/>
  </si>
  <si>
    <t>A-W-02</t>
    <phoneticPr fontId="1" type="noConversion"/>
  </si>
  <si>
    <t>SML-03</t>
    <phoneticPr fontId="1" type="noConversion"/>
  </si>
  <si>
    <t>A-S-02</t>
    <phoneticPr fontId="1" type="noConversion"/>
  </si>
  <si>
    <t>E</t>
    <phoneticPr fontId="1" type="noConversion"/>
  </si>
  <si>
    <t>강동</t>
    <phoneticPr fontId="1" type="noConversion"/>
  </si>
  <si>
    <t>BIG-03</t>
    <phoneticPr fontId="1" type="noConversion"/>
  </si>
  <si>
    <t>A-W-03</t>
    <phoneticPr fontId="1" type="noConversion"/>
  </si>
  <si>
    <t>W</t>
    <phoneticPr fontId="1" type="noConversion"/>
  </si>
  <si>
    <t>강서</t>
    <phoneticPr fontId="1" type="noConversion"/>
  </si>
  <si>
    <t>MID-03</t>
    <phoneticPr fontId="1" type="noConversion"/>
  </si>
  <si>
    <t>A-N-02</t>
    <phoneticPr fontId="1" type="noConversion"/>
  </si>
  <si>
    <t>S</t>
    <phoneticPr fontId="1" type="noConversion"/>
  </si>
  <si>
    <t>강남</t>
    <phoneticPr fontId="1" type="noConversion"/>
  </si>
  <si>
    <t>A-E-03</t>
    <phoneticPr fontId="1" type="noConversion"/>
  </si>
  <si>
    <t>N</t>
    <phoneticPr fontId="1" type="noConversion"/>
  </si>
  <si>
    <t>[표5]</t>
    <phoneticPr fontId="1" type="noConversion"/>
  </si>
  <si>
    <t>제품판매현황</t>
    <phoneticPr fontId="1" type="noConversion"/>
  </si>
  <si>
    <t>대리점명</t>
    <phoneticPr fontId="1" type="noConversion"/>
  </si>
  <si>
    <t>판매원</t>
    <phoneticPr fontId="1" type="noConversion"/>
  </si>
  <si>
    <t>스마트폰</t>
    <phoneticPr fontId="1" type="noConversion"/>
  </si>
  <si>
    <t>강남지점</t>
    <phoneticPr fontId="1" type="noConversion"/>
  </si>
  <si>
    <t>강서지점</t>
    <phoneticPr fontId="1" type="noConversion"/>
  </si>
  <si>
    <t>&lt;조건&gt;</t>
    <phoneticPr fontId="1" type="noConversion"/>
  </si>
  <si>
    <t>2023년</t>
  </si>
  <si>
    <t>2024년</t>
  </si>
  <si>
    <t>사원별 년도별 차량 판매현황</t>
    <phoneticPr fontId="1" type="noConversion"/>
  </si>
  <si>
    <t>사번</t>
    <phoneticPr fontId="1" type="noConversion"/>
  </si>
  <si>
    <t>성명</t>
    <phoneticPr fontId="1" type="noConversion"/>
  </si>
  <si>
    <t>직위</t>
    <phoneticPr fontId="1" type="noConversion"/>
  </si>
  <si>
    <t>2022년</t>
  </si>
  <si>
    <t>SJ01-023</t>
    <phoneticPr fontId="1" type="noConversion"/>
  </si>
  <si>
    <t>민제필</t>
    <phoneticPr fontId="1" type="noConversion"/>
  </si>
  <si>
    <t>부장</t>
    <phoneticPr fontId="1" type="noConversion"/>
  </si>
  <si>
    <t>SJ04-012</t>
    <phoneticPr fontId="1" type="noConversion"/>
  </si>
  <si>
    <t>나일형</t>
    <phoneticPr fontId="1" type="noConversion"/>
  </si>
  <si>
    <t>과장</t>
    <phoneticPr fontId="1" type="noConversion"/>
  </si>
  <si>
    <t>SJ11-002</t>
    <phoneticPr fontId="1" type="noConversion"/>
  </si>
  <si>
    <t>제선영</t>
    <phoneticPr fontId="1" type="noConversion"/>
  </si>
  <si>
    <t>주임</t>
    <phoneticPr fontId="1" type="noConversion"/>
  </si>
  <si>
    <t>SJ10-021</t>
    <phoneticPr fontId="1" type="noConversion"/>
  </si>
  <si>
    <t>박민준</t>
    <phoneticPr fontId="1" type="noConversion"/>
  </si>
  <si>
    <t>대리</t>
  </si>
  <si>
    <t>SJ09-015</t>
    <phoneticPr fontId="1" type="noConversion"/>
  </si>
  <si>
    <t>최세연</t>
    <phoneticPr fontId="1" type="noConversion"/>
  </si>
  <si>
    <t>대리</t>
    <phoneticPr fontId="1" type="noConversion"/>
  </si>
  <si>
    <t>SJ13-007</t>
    <phoneticPr fontId="1" type="noConversion"/>
  </si>
  <si>
    <t>장태현</t>
    <phoneticPr fontId="1" type="noConversion"/>
  </si>
  <si>
    <t>사원</t>
    <phoneticPr fontId="1" type="noConversion"/>
  </si>
  <si>
    <t>SJ06-019</t>
    <phoneticPr fontId="1" type="noConversion"/>
  </si>
  <si>
    <t>추양선</t>
    <phoneticPr fontId="1" type="noConversion"/>
  </si>
  <si>
    <t>SJ08-004</t>
    <phoneticPr fontId="1" type="noConversion"/>
  </si>
  <si>
    <t>피종현</t>
    <phoneticPr fontId="1" type="noConversion"/>
  </si>
  <si>
    <t>SJ12-031</t>
    <phoneticPr fontId="1" type="noConversion"/>
  </si>
  <si>
    <t>김나리</t>
    <phoneticPr fontId="1" type="noConversion"/>
  </si>
  <si>
    <t>SJ12-012</t>
    <phoneticPr fontId="1" type="noConversion"/>
  </si>
  <si>
    <t>이정선</t>
    <phoneticPr fontId="1" type="noConversion"/>
  </si>
  <si>
    <t>SJ13-003</t>
    <phoneticPr fontId="1" type="noConversion"/>
  </si>
  <si>
    <t>박청국</t>
    <phoneticPr fontId="1" type="noConversion"/>
  </si>
  <si>
    <t>주임</t>
  </si>
  <si>
    <t>SJ09-001</t>
    <phoneticPr fontId="1" type="noConversion"/>
  </si>
  <si>
    <t>김평순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</si>
</sst>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m&quot;월&quot;\ dd&quot;일&quot;"/>
    <numFmt numFmtId="177" formatCode="&quot;₩&quot;#,##0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  <xf numFmtId="0" fontId="2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7" fillId="0" borderId="0" xfId="5" applyFont="1" applyAlignment="1">
      <alignment vertical="center"/>
    </xf>
    <xf numFmtId="0" fontId="7" fillId="0" borderId="1" xfId="5" applyFont="1" applyFill="1" applyBorder="1" applyAlignment="1">
      <alignment horizontal="center" vertical="center"/>
    </xf>
    <xf numFmtId="176" fontId="7" fillId="0" borderId="1" xfId="5" applyNumberFormat="1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41" fontId="8" fillId="0" borderId="1" xfId="6" applyFont="1" applyBorder="1" applyAlignment="1">
      <alignment vertical="center"/>
    </xf>
    <xf numFmtId="41" fontId="0" fillId="0" borderId="1" xfId="0" applyNumberFormat="1" applyBorder="1">
      <alignment vertical="center"/>
    </xf>
    <xf numFmtId="0" fontId="9" fillId="0" borderId="1" xfId="0" applyFont="1" applyFill="1" applyBorder="1">
      <alignment vertical="center"/>
    </xf>
    <xf numFmtId="0" fontId="9" fillId="0" borderId="0" xfId="3" applyFont="1" applyFill="1" applyBorder="1" applyAlignment="1">
      <alignment horizontal="center" vertical="center"/>
    </xf>
    <xf numFmtId="0" fontId="9" fillId="0" borderId="0" xfId="0" applyFont="1" applyFill="1" applyBorder="1">
      <alignment vertical="center"/>
    </xf>
    <xf numFmtId="0" fontId="9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41" fontId="9" fillId="0" borderId="1" xfId="1" applyNumberFormat="1" applyFont="1" applyFill="1" applyBorder="1">
      <alignment vertical="center"/>
    </xf>
    <xf numFmtId="177" fontId="9" fillId="0" borderId="1" xfId="1" applyNumberFormat="1" applyFont="1" applyFill="1" applyBorder="1">
      <alignment vertical="center"/>
    </xf>
    <xf numFmtId="14" fontId="9" fillId="0" borderId="1" xfId="0" applyNumberFormat="1" applyFont="1" applyFill="1" applyBorder="1">
      <alignment vertical="center"/>
    </xf>
    <xf numFmtId="0" fontId="10" fillId="0" borderId="0" xfId="4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41" fontId="9" fillId="0" borderId="0" xfId="1" applyFont="1" applyFill="1" applyBorder="1" applyAlignment="1">
      <alignment horizontal="left" vertical="center"/>
    </xf>
    <xf numFmtId="0" fontId="9" fillId="0" borderId="0" xfId="2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7" fillId="0" borderId="1" xfId="5" applyFont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1" fillId="0" borderId="0" xfId="7" applyFont="1">
      <alignment vertical="center"/>
    </xf>
    <xf numFmtId="0" fontId="12" fillId="0" borderId="0" xfId="7" applyFont="1">
      <alignment vertical="center"/>
    </xf>
    <xf numFmtId="0" fontId="11" fillId="0" borderId="0" xfId="0" applyFont="1">
      <alignment vertical="center"/>
    </xf>
    <xf numFmtId="0" fontId="11" fillId="0" borderId="0" xfId="5" applyFont="1" applyAlignment="1">
      <alignment vertical="center"/>
    </xf>
    <xf numFmtId="0" fontId="12" fillId="0" borderId="0" xfId="5" applyFont="1" applyAlignment="1">
      <alignment vertical="center"/>
    </xf>
    <xf numFmtId="0" fontId="9" fillId="0" borderId="0" xfId="5" applyFont="1" applyAlignment="1">
      <alignment vertical="center"/>
    </xf>
    <xf numFmtId="0" fontId="9" fillId="0" borderId="1" xfId="5" applyFont="1" applyBorder="1" applyAlignment="1">
      <alignment horizontal="center" vertical="center"/>
    </xf>
    <xf numFmtId="0" fontId="11" fillId="0" borderId="1" xfId="5" applyFont="1" applyBorder="1" applyAlignment="1">
      <alignment horizontal="center" vertical="center"/>
    </xf>
    <xf numFmtId="0" fontId="9" fillId="5" borderId="1" xfId="5" applyFont="1" applyFill="1" applyBorder="1" applyAlignment="1">
      <alignment horizontal="center" vertical="center"/>
    </xf>
    <xf numFmtId="0" fontId="11" fillId="0" borderId="1" xfId="7" applyFont="1" applyFill="1" applyBorder="1" applyAlignment="1">
      <alignment horizontal="center" vertical="center"/>
    </xf>
    <xf numFmtId="0" fontId="11" fillId="0" borderId="1" xfId="7" applyFont="1" applyBorder="1" applyAlignment="1">
      <alignment horizontal="center" vertical="center"/>
    </xf>
    <xf numFmtId="0" fontId="12" fillId="0" borderId="0" xfId="0" applyFont="1">
      <alignment vertical="center"/>
    </xf>
    <xf numFmtId="0" fontId="11" fillId="0" borderId="1" xfId="0" applyFont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41" fontId="11" fillId="0" borderId="1" xfId="1" applyFont="1" applyBorder="1" applyAlignment="1">
      <alignment horizontal="center" vertical="center"/>
    </xf>
    <xf numFmtId="41" fontId="11" fillId="0" borderId="1" xfId="0" applyNumberFormat="1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1" xfId="7" applyFont="1" applyFill="1" applyBorder="1" applyAlignment="1">
      <alignment horizontal="center" vertical="center"/>
    </xf>
    <xf numFmtId="0" fontId="11" fillId="0" borderId="2" xfId="7" applyFont="1" applyBorder="1" applyAlignment="1">
      <alignment horizontal="center" vertical="center"/>
    </xf>
    <xf numFmtId="0" fontId="11" fillId="0" borderId="3" xfId="7" applyFont="1" applyBorder="1" applyAlignment="1">
      <alignment horizontal="center" vertical="center"/>
    </xf>
    <xf numFmtId="0" fontId="11" fillId="0" borderId="4" xfId="7" applyFont="1" applyBorder="1" applyAlignment="1">
      <alignment horizontal="center" vertical="center"/>
    </xf>
    <xf numFmtId="0" fontId="11" fillId="5" borderId="1" xfId="7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5" fillId="0" borderId="0" xfId="5" applyFont="1" applyAlignment="1">
      <alignment horizontal="center" vertical="center"/>
    </xf>
    <xf numFmtId="0" fontId="7" fillId="0" borderId="1" xfId="5" applyFont="1" applyBorder="1" applyAlignment="1">
      <alignment horizontal="center" vertical="center"/>
    </xf>
    <xf numFmtId="9" fontId="7" fillId="0" borderId="1" xfId="5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13" fillId="0" borderId="0" xfId="0" applyFont="1">
      <alignment vertical="center"/>
    </xf>
  </cellXfs>
  <cellStyles count="8">
    <cellStyle name="강조색1" xfId="3" builtinId="29"/>
    <cellStyle name="강조색4" xfId="4" builtinId="41"/>
    <cellStyle name="백분율" xfId="2" builtinId="5"/>
    <cellStyle name="쉼표 [0]" xfId="1" builtinId="6"/>
    <cellStyle name="쉼표 [0] 2" xfId="6" xr:uid="{00000000-0005-0000-0000-000004000000}"/>
    <cellStyle name="표준" xfId="0" builtinId="0"/>
    <cellStyle name="표준 2" xfId="5" xr:uid="{00000000-0005-0000-0000-000006000000}"/>
    <cellStyle name="표준 3 2" xfId="7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차트작업!$C$4</c:f>
              <c:strCache>
                <c:ptCount val="1"/>
                <c:pt idx="0">
                  <c:v>2021년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차트작업!$B$5:$B$7</c:f>
              <c:strCache>
                <c:ptCount val="3"/>
                <c:pt idx="0">
                  <c:v>현역</c:v>
                </c:pt>
                <c:pt idx="1">
                  <c:v>보충역</c:v>
                </c:pt>
                <c:pt idx="2">
                  <c:v>전시근로역</c:v>
                </c:pt>
              </c:strCache>
            </c:strRef>
          </c:cat>
          <c:val>
            <c:numRef>
              <c:f>차트작업!$C$5:$C$7</c:f>
              <c:numCache>
                <c:formatCode>_(* #,##0_);_(* \(#,##0\);_(* "-"_);_(@_)</c:formatCode>
                <c:ptCount val="3"/>
                <c:pt idx="0">
                  <c:v>4125</c:v>
                </c:pt>
                <c:pt idx="1">
                  <c:v>2120</c:v>
                </c:pt>
                <c:pt idx="2">
                  <c:v>1020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97-4354-875B-8C3B9BA8C1A7}"/>
            </c:ext>
          </c:extLst>
        </c:ser>
        <c:ser>
          <c:idx val="1"/>
          <c:order val="1"/>
          <c:tx>
            <c:strRef>
              <c:f>차트작업!$D$4</c:f>
              <c:strCache>
                <c:ptCount val="1"/>
                <c:pt idx="0">
                  <c:v>2022년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차트작업!$B$5:$B$7</c:f>
              <c:strCache>
                <c:ptCount val="3"/>
                <c:pt idx="0">
                  <c:v>현역</c:v>
                </c:pt>
                <c:pt idx="1">
                  <c:v>보충역</c:v>
                </c:pt>
                <c:pt idx="2">
                  <c:v>전시근로역</c:v>
                </c:pt>
              </c:strCache>
            </c:strRef>
          </c:cat>
          <c:val>
            <c:numRef>
              <c:f>차트작업!$D$5:$D$7</c:f>
              <c:numCache>
                <c:formatCode>_(* #,##0_);_(* \(#,##0\);_(* "-"_);_(@_)</c:formatCode>
                <c:ptCount val="3"/>
                <c:pt idx="0">
                  <c:v>3248</c:v>
                </c:pt>
                <c:pt idx="1">
                  <c:v>3592</c:v>
                </c:pt>
                <c:pt idx="2">
                  <c:v>1150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97-4354-875B-8C3B9BA8C1A7}"/>
            </c:ext>
          </c:extLst>
        </c:ser>
        <c:ser>
          <c:idx val="2"/>
          <c:order val="2"/>
          <c:tx>
            <c:strRef>
              <c:f>차트작업!$E$4</c:f>
              <c:strCache>
                <c:ptCount val="1"/>
                <c:pt idx="0">
                  <c:v>2023년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차트작업!$B$5:$B$7</c:f>
              <c:strCache>
                <c:ptCount val="3"/>
                <c:pt idx="0">
                  <c:v>현역</c:v>
                </c:pt>
                <c:pt idx="1">
                  <c:v>보충역</c:v>
                </c:pt>
                <c:pt idx="2">
                  <c:v>전시근로역</c:v>
                </c:pt>
              </c:strCache>
            </c:strRef>
          </c:cat>
          <c:val>
            <c:numRef>
              <c:f>차트작업!$E$5:$E$7</c:f>
              <c:numCache>
                <c:formatCode>_(* #,##0_);_(* \(#,##0\);_(* "-"_);_(@_)</c:formatCode>
                <c:ptCount val="3"/>
                <c:pt idx="0">
                  <c:v>3550</c:v>
                </c:pt>
                <c:pt idx="1">
                  <c:v>2621</c:v>
                </c:pt>
                <c:pt idx="2">
                  <c:v>2750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97-4354-875B-8C3B9BA8C1A7}"/>
            </c:ext>
          </c:extLst>
        </c:ser>
        <c:ser>
          <c:idx val="3"/>
          <c:order val="3"/>
          <c:tx>
            <c:strRef>
              <c:f>차트작업!$F$4</c:f>
              <c:strCache>
                <c:ptCount val="1"/>
                <c:pt idx="0">
                  <c:v>2024년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차트작업!$B$5:$B$7</c:f>
              <c:strCache>
                <c:ptCount val="3"/>
                <c:pt idx="0">
                  <c:v>현역</c:v>
                </c:pt>
                <c:pt idx="1">
                  <c:v>보충역</c:v>
                </c:pt>
                <c:pt idx="2">
                  <c:v>전시근로역</c:v>
                </c:pt>
              </c:strCache>
            </c:strRef>
          </c:cat>
          <c:val>
            <c:numRef>
              <c:f>차트작업!$F$5:$F$7</c:f>
              <c:numCache>
                <c:formatCode>_(* #,##0_);_(* \(#,##0\);_(* "-"_);_(@_)</c:formatCode>
                <c:ptCount val="3"/>
                <c:pt idx="0">
                  <c:v>4358</c:v>
                </c:pt>
                <c:pt idx="1">
                  <c:v>1850</c:v>
                </c:pt>
                <c:pt idx="2">
                  <c:v>1820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AC-4B3A-B39C-18A2F5199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8764864"/>
        <c:axId val="1038769856"/>
      </c:barChart>
      <c:catAx>
        <c:axId val="103876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8769856"/>
        <c:crosses val="autoZero"/>
        <c:auto val="1"/>
        <c:lblAlgn val="ctr"/>
        <c:lblOffset val="100"/>
        <c:noMultiLvlLbl val="0"/>
      </c:catAx>
      <c:valAx>
        <c:axId val="103876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8764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11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거래처" connectionId="1" xr16:uid="{336F0AC3-DF93-4DE7-9ED7-26DDDA3967CB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zoomScaleNormal="100" workbookViewId="0"/>
  </sheetViews>
  <sheetFormatPr defaultRowHeight="16.5"/>
  <cols>
    <col min="1" max="1" width="32.125" bestFit="1" customWidth="1"/>
    <col min="2" max="2" width="15.75" bestFit="1" customWidth="1"/>
    <col min="3" max="3" width="15.75" customWidth="1"/>
    <col min="5" max="5" width="27.625" bestFit="1" customWidth="1"/>
  </cols>
  <sheetData>
    <row r="1" spans="1:1">
      <c r="A1" t="s">
        <v>74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3"/>
  <sheetViews>
    <sheetView workbookViewId="0"/>
  </sheetViews>
  <sheetFormatPr defaultRowHeight="16.5"/>
  <cols>
    <col min="3" max="3" width="10.625" bestFit="1" customWidth="1"/>
    <col min="6" max="6" width="11.625" bestFit="1" customWidth="1"/>
    <col min="7" max="7" width="8.5" bestFit="1" customWidth="1"/>
  </cols>
  <sheetData>
    <row r="1" spans="1:8">
      <c r="A1" s="22" t="s">
        <v>92</v>
      </c>
      <c r="B1" s="22"/>
      <c r="C1" s="22"/>
      <c r="D1" s="22"/>
      <c r="E1" s="22"/>
      <c r="F1" s="22"/>
      <c r="G1" s="22"/>
      <c r="H1" s="22"/>
    </row>
    <row r="2" spans="1:8">
      <c r="A2" s="22"/>
      <c r="B2" s="22"/>
      <c r="C2" s="22"/>
      <c r="D2" s="22"/>
      <c r="E2" s="22"/>
      <c r="F2" s="22"/>
      <c r="G2" s="22"/>
      <c r="H2" s="22"/>
    </row>
    <row r="3" spans="1:8">
      <c r="A3" s="18" t="s">
        <v>75</v>
      </c>
      <c r="B3" s="18" t="s">
        <v>76</v>
      </c>
      <c r="C3" s="18" t="s">
        <v>77</v>
      </c>
      <c r="D3" s="18" t="s">
        <v>78</v>
      </c>
      <c r="E3" s="18" t="s">
        <v>79</v>
      </c>
      <c r="F3" s="18" t="s">
        <v>80</v>
      </c>
      <c r="G3" s="18" t="s">
        <v>81</v>
      </c>
      <c r="H3" s="18" t="s">
        <v>82</v>
      </c>
    </row>
    <row r="4" spans="1:8">
      <c r="A4" s="19" t="s">
        <v>86</v>
      </c>
      <c r="B4" s="19" t="s">
        <v>89</v>
      </c>
      <c r="C4" s="20">
        <v>800000</v>
      </c>
      <c r="D4" s="21">
        <v>2E-3</v>
      </c>
      <c r="E4" s="20">
        <v>100000</v>
      </c>
      <c r="F4" s="20">
        <v>900000</v>
      </c>
      <c r="G4" s="20">
        <v>59500</v>
      </c>
      <c r="H4" s="20">
        <v>6</v>
      </c>
    </row>
    <row r="5" spans="1:8">
      <c r="A5" s="19"/>
      <c r="B5" s="19" t="s">
        <v>90</v>
      </c>
      <c r="C5" s="20">
        <v>2000000</v>
      </c>
      <c r="D5" s="21">
        <v>8.9999999999999993E-3</v>
      </c>
      <c r="E5" s="20">
        <v>150000</v>
      </c>
      <c r="F5" s="20">
        <v>2070000</v>
      </c>
      <c r="G5" s="20">
        <v>99000</v>
      </c>
      <c r="H5" s="20">
        <v>7</v>
      </c>
    </row>
    <row r="6" spans="1:8">
      <c r="A6" s="19"/>
      <c r="B6" s="19" t="s">
        <v>91</v>
      </c>
      <c r="C6" s="20">
        <v>960000</v>
      </c>
      <c r="D6" s="21">
        <v>3.0000000000000001E-3</v>
      </c>
      <c r="E6" s="20">
        <v>50000</v>
      </c>
      <c r="F6" s="20">
        <v>1010000</v>
      </c>
      <c r="G6" s="20">
        <v>61000</v>
      </c>
      <c r="H6" s="20">
        <v>3</v>
      </c>
    </row>
    <row r="7" spans="1:8">
      <c r="A7" s="19" t="s">
        <v>87</v>
      </c>
      <c r="B7" s="19" t="s">
        <v>83</v>
      </c>
      <c r="C7" s="20">
        <v>720000</v>
      </c>
      <c r="D7" s="21">
        <v>0</v>
      </c>
      <c r="E7" s="20">
        <v>30000</v>
      </c>
      <c r="F7" s="20">
        <v>750000</v>
      </c>
      <c r="G7" s="20">
        <v>130000</v>
      </c>
      <c r="H7" s="20">
        <v>1</v>
      </c>
    </row>
    <row r="8" spans="1:8">
      <c r="A8" s="19"/>
      <c r="B8" s="19" t="s">
        <v>84</v>
      </c>
      <c r="C8" s="20">
        <v>1200000</v>
      </c>
      <c r="D8" s="21">
        <v>0.02</v>
      </c>
      <c r="E8" s="20">
        <v>75000</v>
      </c>
      <c r="F8" s="20">
        <v>1251000</v>
      </c>
      <c r="G8" s="20">
        <v>218000</v>
      </c>
      <c r="H8" s="20">
        <v>4</v>
      </c>
    </row>
    <row r="9" spans="1:8">
      <c r="A9" s="19"/>
      <c r="B9" s="19" t="s">
        <v>89</v>
      </c>
      <c r="C9" s="20">
        <v>2800000</v>
      </c>
      <c r="D9" s="21">
        <v>1E-3</v>
      </c>
      <c r="E9" s="20">
        <v>140000</v>
      </c>
      <c r="F9" s="20">
        <v>2838000</v>
      </c>
      <c r="G9" s="20">
        <v>67000</v>
      </c>
      <c r="H9" s="20">
        <v>5</v>
      </c>
    </row>
    <row r="10" spans="1:8">
      <c r="A10" s="19" t="s">
        <v>88</v>
      </c>
      <c r="B10" s="19" t="s">
        <v>90</v>
      </c>
      <c r="C10" s="20">
        <v>640000</v>
      </c>
      <c r="D10" s="21">
        <v>0.01</v>
      </c>
      <c r="E10" s="20">
        <v>200000</v>
      </c>
      <c r="F10" s="20">
        <v>840000</v>
      </c>
      <c r="G10" s="20">
        <v>88000</v>
      </c>
      <c r="H10" s="20">
        <v>8</v>
      </c>
    </row>
    <row r="11" spans="1:8">
      <c r="A11" s="19"/>
      <c r="B11" s="19" t="s">
        <v>91</v>
      </c>
      <c r="C11" s="20">
        <v>720000</v>
      </c>
      <c r="D11" s="21">
        <v>5.0000000000000001E-3</v>
      </c>
      <c r="E11" s="20">
        <v>40000</v>
      </c>
      <c r="F11" s="20">
        <v>760000</v>
      </c>
      <c r="G11" s="20">
        <v>125000</v>
      </c>
      <c r="H11" s="20">
        <v>2</v>
      </c>
    </row>
    <row r="12" spans="1:8">
      <c r="A12" s="19"/>
      <c r="B12" s="19" t="s">
        <v>83</v>
      </c>
      <c r="C12" s="20">
        <v>1200000</v>
      </c>
      <c r="D12" s="21">
        <v>0.02</v>
      </c>
      <c r="E12" s="20">
        <v>50000</v>
      </c>
      <c r="F12" s="20">
        <v>1226000</v>
      </c>
      <c r="G12" s="20">
        <v>77000</v>
      </c>
      <c r="H12" s="20">
        <v>3</v>
      </c>
    </row>
    <row r="13" spans="1:8">
      <c r="A13" s="19" t="s">
        <v>85</v>
      </c>
      <c r="B13" s="19"/>
      <c r="C13" s="19"/>
      <c r="D13" s="19"/>
      <c r="E13" s="20">
        <v>835000</v>
      </c>
      <c r="F13" s="20">
        <v>11645000</v>
      </c>
      <c r="G13" s="20">
        <v>924500</v>
      </c>
      <c r="H13" s="1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5"/>
  <sheetViews>
    <sheetView workbookViewId="0"/>
  </sheetViews>
  <sheetFormatPr defaultRowHeight="16.5"/>
  <cols>
    <col min="1" max="7" width="11.625" customWidth="1"/>
  </cols>
  <sheetData>
    <row r="1" spans="1:7" ht="17.25">
      <c r="A1" s="56" t="s">
        <v>237</v>
      </c>
    </row>
    <row r="3" spans="1:7">
      <c r="A3" s="54" t="s">
        <v>238</v>
      </c>
      <c r="B3" s="54" t="s">
        <v>239</v>
      </c>
      <c r="C3" s="54" t="s">
        <v>240</v>
      </c>
      <c r="D3" s="54" t="s">
        <v>1</v>
      </c>
      <c r="E3" s="54" t="s">
        <v>241</v>
      </c>
      <c r="F3" s="54" t="s">
        <v>235</v>
      </c>
      <c r="G3" s="54" t="s">
        <v>236</v>
      </c>
    </row>
    <row r="4" spans="1:7">
      <c r="A4" s="1" t="s">
        <v>242</v>
      </c>
      <c r="B4" s="1" t="s">
        <v>243</v>
      </c>
      <c r="C4" s="1" t="s">
        <v>244</v>
      </c>
      <c r="D4" s="55">
        <v>50</v>
      </c>
      <c r="E4" s="55">
        <v>182</v>
      </c>
      <c r="F4" s="55">
        <v>122</v>
      </c>
      <c r="G4" s="55">
        <v>145</v>
      </c>
    </row>
    <row r="5" spans="1:7">
      <c r="A5" s="1" t="s">
        <v>245</v>
      </c>
      <c r="B5" s="1" t="s">
        <v>246</v>
      </c>
      <c r="C5" s="1" t="s">
        <v>247</v>
      </c>
      <c r="D5" s="55">
        <v>194</v>
      </c>
      <c r="E5" s="55">
        <v>155</v>
      </c>
      <c r="F5" s="55">
        <v>47</v>
      </c>
      <c r="G5" s="55">
        <v>157</v>
      </c>
    </row>
    <row r="6" spans="1:7">
      <c r="A6" s="1" t="s">
        <v>248</v>
      </c>
      <c r="B6" s="1" t="s">
        <v>249</v>
      </c>
      <c r="C6" s="1" t="s">
        <v>250</v>
      </c>
      <c r="D6" s="55">
        <v>181</v>
      </c>
      <c r="E6" s="55">
        <v>190</v>
      </c>
      <c r="F6" s="55">
        <v>89</v>
      </c>
      <c r="G6" s="55">
        <v>170</v>
      </c>
    </row>
    <row r="7" spans="1:7">
      <c r="A7" s="1" t="s">
        <v>251</v>
      </c>
      <c r="B7" s="1" t="s">
        <v>252</v>
      </c>
      <c r="C7" s="1" t="s">
        <v>253</v>
      </c>
      <c r="D7" s="55">
        <v>56</v>
      </c>
      <c r="E7" s="55">
        <v>72</v>
      </c>
      <c r="F7" s="55">
        <v>154</v>
      </c>
      <c r="G7" s="55">
        <v>187</v>
      </c>
    </row>
    <row r="8" spans="1:7">
      <c r="A8" s="1" t="s">
        <v>254</v>
      </c>
      <c r="B8" s="1" t="s">
        <v>255</v>
      </c>
      <c r="C8" s="1" t="s">
        <v>256</v>
      </c>
      <c r="D8" s="55">
        <v>134</v>
      </c>
      <c r="E8" s="55">
        <v>45</v>
      </c>
      <c r="F8" s="55">
        <v>40</v>
      </c>
      <c r="G8" s="55">
        <v>127</v>
      </c>
    </row>
    <row r="9" spans="1:7">
      <c r="A9" s="1" t="s">
        <v>257</v>
      </c>
      <c r="B9" s="1" t="s">
        <v>258</v>
      </c>
      <c r="C9" s="1" t="s">
        <v>259</v>
      </c>
      <c r="D9" s="55">
        <v>198</v>
      </c>
      <c r="E9" s="55">
        <v>103</v>
      </c>
      <c r="F9" s="55">
        <v>19</v>
      </c>
      <c r="G9" s="55">
        <v>38</v>
      </c>
    </row>
    <row r="10" spans="1:7">
      <c r="A10" s="1" t="s">
        <v>260</v>
      </c>
      <c r="B10" s="1" t="s">
        <v>261</v>
      </c>
      <c r="C10" s="1" t="s">
        <v>247</v>
      </c>
      <c r="D10" s="55">
        <v>191</v>
      </c>
      <c r="E10" s="55">
        <v>129</v>
      </c>
      <c r="F10" s="55">
        <v>157</v>
      </c>
      <c r="G10" s="55">
        <v>109</v>
      </c>
    </row>
    <row r="11" spans="1:7">
      <c r="A11" s="1" t="s">
        <v>262</v>
      </c>
      <c r="B11" s="1" t="s">
        <v>263</v>
      </c>
      <c r="C11" s="1" t="s">
        <v>256</v>
      </c>
      <c r="D11" s="55">
        <v>17</v>
      </c>
      <c r="E11" s="55">
        <v>72</v>
      </c>
      <c r="F11" s="55">
        <v>150</v>
      </c>
      <c r="G11" s="55">
        <v>10</v>
      </c>
    </row>
    <row r="12" spans="1:7">
      <c r="A12" s="1" t="s">
        <v>264</v>
      </c>
      <c r="B12" s="1" t="s">
        <v>265</v>
      </c>
      <c r="C12" s="1" t="s">
        <v>250</v>
      </c>
      <c r="D12" s="55">
        <v>149</v>
      </c>
      <c r="E12" s="55">
        <v>199</v>
      </c>
      <c r="F12" s="55">
        <v>76</v>
      </c>
      <c r="G12" s="55">
        <v>188</v>
      </c>
    </row>
    <row r="13" spans="1:7">
      <c r="A13" s="1" t="s">
        <v>266</v>
      </c>
      <c r="B13" s="1" t="s">
        <v>267</v>
      </c>
      <c r="C13" s="1" t="s">
        <v>259</v>
      </c>
      <c r="D13" s="55">
        <v>152</v>
      </c>
      <c r="E13" s="55">
        <v>182</v>
      </c>
      <c r="F13" s="55">
        <v>91</v>
      </c>
      <c r="G13" s="55">
        <v>136</v>
      </c>
    </row>
    <row r="14" spans="1:7">
      <c r="A14" s="1" t="s">
        <v>268</v>
      </c>
      <c r="B14" s="1" t="s">
        <v>269</v>
      </c>
      <c r="C14" s="1" t="s">
        <v>270</v>
      </c>
      <c r="D14" s="55">
        <v>34</v>
      </c>
      <c r="E14" s="55">
        <v>111</v>
      </c>
      <c r="F14" s="55">
        <v>167</v>
      </c>
      <c r="G14" s="55">
        <v>40</v>
      </c>
    </row>
    <row r="15" spans="1:7">
      <c r="A15" s="1" t="s">
        <v>271</v>
      </c>
      <c r="B15" s="1" t="s">
        <v>272</v>
      </c>
      <c r="C15" s="1" t="s">
        <v>256</v>
      </c>
      <c r="D15" s="55">
        <v>165</v>
      </c>
      <c r="E15" s="55">
        <v>75</v>
      </c>
      <c r="F15" s="55">
        <v>98</v>
      </c>
      <c r="G15" s="55">
        <v>141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42"/>
  <sheetViews>
    <sheetView workbookViewId="0"/>
  </sheetViews>
  <sheetFormatPr defaultColWidth="8.625" defaultRowHeight="16.5"/>
  <cols>
    <col min="1" max="2" width="8.625" style="28"/>
    <col min="3" max="5" width="11.625" style="28" customWidth="1"/>
    <col min="6" max="9" width="8.625" style="28"/>
    <col min="10" max="10" width="10.625" style="28" bestFit="1" customWidth="1"/>
    <col min="11" max="16384" width="8.625" style="28"/>
  </cols>
  <sheetData>
    <row r="1" spans="1:13">
      <c r="A1" s="26" t="s">
        <v>183</v>
      </c>
      <c r="B1" s="27" t="s">
        <v>184</v>
      </c>
      <c r="C1" s="26"/>
      <c r="D1" s="26"/>
      <c r="E1" s="26"/>
      <c r="F1" s="26"/>
      <c r="H1" s="29" t="s">
        <v>185</v>
      </c>
      <c r="I1" s="30" t="s">
        <v>186</v>
      </c>
      <c r="J1" s="31"/>
      <c r="K1" s="31"/>
      <c r="L1" s="31"/>
    </row>
    <row r="2" spans="1:13">
      <c r="A2" s="44" t="s">
        <v>187</v>
      </c>
      <c r="B2" s="45" t="s">
        <v>188</v>
      </c>
      <c r="C2" s="46"/>
      <c r="D2" s="46"/>
      <c r="E2" s="47"/>
      <c r="F2" s="48" t="s">
        <v>189</v>
      </c>
      <c r="H2" s="32" t="s">
        <v>190</v>
      </c>
      <c r="I2" s="33" t="s">
        <v>191</v>
      </c>
      <c r="J2" s="32" t="s">
        <v>192</v>
      </c>
      <c r="K2" s="33" t="s">
        <v>193</v>
      </c>
      <c r="L2" s="32" t="s">
        <v>194</v>
      </c>
      <c r="M2" s="34" t="s">
        <v>195</v>
      </c>
    </row>
    <row r="3" spans="1:13">
      <c r="A3" s="44"/>
      <c r="B3" s="35" t="s">
        <v>196</v>
      </c>
      <c r="C3" s="35" t="s">
        <v>197</v>
      </c>
      <c r="D3" s="35" t="s">
        <v>130</v>
      </c>
      <c r="E3" s="35" t="s">
        <v>131</v>
      </c>
      <c r="F3" s="48"/>
      <c r="H3" s="33" t="s">
        <v>198</v>
      </c>
      <c r="I3" s="32">
        <v>10</v>
      </c>
      <c r="J3" s="32">
        <v>10</v>
      </c>
      <c r="K3" s="32">
        <v>10</v>
      </c>
      <c r="L3" s="32">
        <f>SUM(I3:K3)</f>
        <v>30</v>
      </c>
      <c r="M3" s="32"/>
    </row>
    <row r="4" spans="1:13">
      <c r="A4" s="36">
        <v>2025001</v>
      </c>
      <c r="B4" s="36" t="s">
        <v>199</v>
      </c>
      <c r="C4" s="36" t="s">
        <v>199</v>
      </c>
      <c r="D4" s="36"/>
      <c r="E4" s="36" t="s">
        <v>199</v>
      </c>
      <c r="F4" s="36"/>
      <c r="H4" s="33" t="s">
        <v>200</v>
      </c>
      <c r="I4" s="32">
        <v>8</v>
      </c>
      <c r="J4" s="32">
        <v>9</v>
      </c>
      <c r="K4" s="32">
        <v>10</v>
      </c>
      <c r="L4" s="32">
        <f t="shared" ref="L4:L12" si="0">SUM(I4:K4)</f>
        <v>27</v>
      </c>
      <c r="M4" s="32"/>
    </row>
    <row r="5" spans="1:13">
      <c r="A5" s="36">
        <v>2025002</v>
      </c>
      <c r="B5" s="36"/>
      <c r="C5" s="36"/>
      <c r="D5" s="36" t="s">
        <v>201</v>
      </c>
      <c r="E5" s="36" t="s">
        <v>201</v>
      </c>
      <c r="F5" s="36"/>
      <c r="H5" s="33" t="s">
        <v>202</v>
      </c>
      <c r="I5" s="32">
        <v>10</v>
      </c>
      <c r="J5" s="32">
        <v>9</v>
      </c>
      <c r="K5" s="32">
        <v>9</v>
      </c>
      <c r="L5" s="32">
        <f t="shared" si="0"/>
        <v>28</v>
      </c>
      <c r="M5" s="32"/>
    </row>
    <row r="6" spans="1:13">
      <c r="A6" s="36">
        <v>2025003</v>
      </c>
      <c r="B6" s="36" t="s">
        <v>133</v>
      </c>
      <c r="C6" s="36"/>
      <c r="D6" s="36" t="s">
        <v>201</v>
      </c>
      <c r="E6" s="36" t="s">
        <v>133</v>
      </c>
      <c r="F6" s="36"/>
      <c r="H6" s="33" t="s">
        <v>203</v>
      </c>
      <c r="I6" s="32">
        <v>7</v>
      </c>
      <c r="J6" s="32">
        <v>8</v>
      </c>
      <c r="K6" s="32">
        <v>10</v>
      </c>
      <c r="L6" s="32">
        <f t="shared" si="0"/>
        <v>25</v>
      </c>
      <c r="M6" s="32"/>
    </row>
    <row r="7" spans="1:13">
      <c r="A7" s="36">
        <v>2025004</v>
      </c>
      <c r="B7" s="36"/>
      <c r="C7" s="36" t="s">
        <v>132</v>
      </c>
      <c r="D7" s="36"/>
      <c r="E7" s="36" t="s">
        <v>132</v>
      </c>
      <c r="F7" s="36"/>
      <c r="H7" s="33" t="s">
        <v>134</v>
      </c>
      <c r="I7" s="32">
        <v>10</v>
      </c>
      <c r="J7" s="32">
        <v>10</v>
      </c>
      <c r="K7" s="32">
        <v>9</v>
      </c>
      <c r="L7" s="32">
        <f t="shared" si="0"/>
        <v>29</v>
      </c>
      <c r="M7" s="32"/>
    </row>
    <row r="8" spans="1:13">
      <c r="A8" s="36">
        <v>2025005</v>
      </c>
      <c r="B8" s="36" t="s">
        <v>132</v>
      </c>
      <c r="C8" s="36" t="s">
        <v>132</v>
      </c>
      <c r="D8" s="36" t="s">
        <v>132</v>
      </c>
      <c r="E8" s="36" t="s">
        <v>132</v>
      </c>
      <c r="F8" s="36"/>
      <c r="H8" s="33" t="s">
        <v>135</v>
      </c>
      <c r="I8" s="32">
        <v>10</v>
      </c>
      <c r="J8" s="32">
        <v>8</v>
      </c>
      <c r="K8" s="32">
        <v>9</v>
      </c>
      <c r="L8" s="32">
        <f t="shared" si="0"/>
        <v>27</v>
      </c>
      <c r="M8" s="32"/>
    </row>
    <row r="9" spans="1:13">
      <c r="A9" s="36">
        <v>2025006</v>
      </c>
      <c r="B9" s="36" t="s">
        <v>132</v>
      </c>
      <c r="C9" s="36" t="s">
        <v>132</v>
      </c>
      <c r="D9" s="36" t="s">
        <v>132</v>
      </c>
      <c r="E9" s="36"/>
      <c r="F9" s="36"/>
      <c r="H9" s="33" t="s">
        <v>136</v>
      </c>
      <c r="I9" s="32">
        <v>9</v>
      </c>
      <c r="J9" s="32">
        <v>9</v>
      </c>
      <c r="K9" s="32">
        <v>9</v>
      </c>
      <c r="L9" s="32">
        <f t="shared" si="0"/>
        <v>27</v>
      </c>
      <c r="M9" s="32"/>
    </row>
    <row r="10" spans="1:13">
      <c r="A10" s="36">
        <v>2025007</v>
      </c>
      <c r="B10" s="36" t="s">
        <v>132</v>
      </c>
      <c r="C10" s="36"/>
      <c r="D10" s="36" t="s">
        <v>132</v>
      </c>
      <c r="E10" s="36" t="s">
        <v>132</v>
      </c>
      <c r="F10" s="36"/>
      <c r="H10" s="33" t="s">
        <v>137</v>
      </c>
      <c r="I10" s="32">
        <v>8</v>
      </c>
      <c r="J10" s="32">
        <v>9</v>
      </c>
      <c r="K10" s="32">
        <v>9</v>
      </c>
      <c r="L10" s="32">
        <f t="shared" si="0"/>
        <v>26</v>
      </c>
      <c r="M10" s="32"/>
    </row>
    <row r="11" spans="1:13">
      <c r="A11" s="36">
        <v>2025008</v>
      </c>
      <c r="B11" s="36" t="s">
        <v>132</v>
      </c>
      <c r="C11" s="36" t="s">
        <v>132</v>
      </c>
      <c r="D11" s="36"/>
      <c r="E11" s="36"/>
      <c r="F11" s="36"/>
      <c r="H11" s="33" t="s">
        <v>138</v>
      </c>
      <c r="I11" s="32">
        <v>9</v>
      </c>
      <c r="J11" s="32">
        <v>8</v>
      </c>
      <c r="K11" s="32">
        <v>7</v>
      </c>
      <c r="L11" s="32">
        <f t="shared" si="0"/>
        <v>24</v>
      </c>
      <c r="M11" s="32"/>
    </row>
    <row r="12" spans="1:13">
      <c r="A12" s="36">
        <v>2025009</v>
      </c>
      <c r="B12" s="36" t="s">
        <v>132</v>
      </c>
      <c r="C12" s="36" t="s">
        <v>132</v>
      </c>
      <c r="D12" s="36" t="s">
        <v>132</v>
      </c>
      <c r="E12" s="36" t="s">
        <v>132</v>
      </c>
      <c r="F12" s="36"/>
      <c r="H12" s="33" t="s">
        <v>204</v>
      </c>
      <c r="I12" s="32">
        <v>7</v>
      </c>
      <c r="J12" s="32">
        <v>9</v>
      </c>
      <c r="K12" s="32">
        <v>8</v>
      </c>
      <c r="L12" s="32">
        <f t="shared" si="0"/>
        <v>24</v>
      </c>
      <c r="M12" s="32"/>
    </row>
    <row r="13" spans="1:13">
      <c r="A13" s="36">
        <v>2025010</v>
      </c>
      <c r="B13" s="36"/>
      <c r="C13" s="36" t="s">
        <v>132</v>
      </c>
      <c r="D13" s="36"/>
      <c r="E13" s="36" t="s">
        <v>132</v>
      </c>
      <c r="F13" s="36"/>
    </row>
    <row r="15" spans="1:13">
      <c r="A15" s="28" t="s">
        <v>139</v>
      </c>
      <c r="B15" s="37" t="s">
        <v>140</v>
      </c>
      <c r="G15" s="28" t="s">
        <v>141</v>
      </c>
      <c r="H15" s="37" t="s">
        <v>142</v>
      </c>
    </row>
    <row r="16" spans="1:13">
      <c r="A16" s="38" t="s">
        <v>143</v>
      </c>
      <c r="B16" s="38" t="s">
        <v>144</v>
      </c>
      <c r="C16" s="38" t="s">
        <v>145</v>
      </c>
      <c r="D16" s="38" t="s">
        <v>205</v>
      </c>
      <c r="E16" s="39" t="s">
        <v>146</v>
      </c>
      <c r="G16" s="38" t="s">
        <v>147</v>
      </c>
      <c r="H16" s="38" t="s">
        <v>148</v>
      </c>
      <c r="I16" s="38" t="s">
        <v>149</v>
      </c>
      <c r="J16" s="38" t="s">
        <v>150</v>
      </c>
      <c r="K16" s="39" t="s">
        <v>151</v>
      </c>
    </row>
    <row r="17" spans="1:14">
      <c r="A17" s="38" t="s">
        <v>152</v>
      </c>
      <c r="B17" s="38" t="s">
        <v>153</v>
      </c>
      <c r="C17" s="40">
        <v>1500</v>
      </c>
      <c r="D17" s="38">
        <v>85</v>
      </c>
      <c r="E17" s="38"/>
      <c r="G17" s="38" t="s">
        <v>206</v>
      </c>
      <c r="H17" s="38">
        <v>150</v>
      </c>
      <c r="I17" s="40">
        <v>50000</v>
      </c>
      <c r="J17" s="41">
        <v>7500000</v>
      </c>
      <c r="K17" s="38"/>
    </row>
    <row r="18" spans="1:14">
      <c r="A18" s="38" t="s">
        <v>207</v>
      </c>
      <c r="B18" s="38" t="s">
        <v>208</v>
      </c>
      <c r="C18" s="40">
        <v>1500</v>
      </c>
      <c r="D18" s="38">
        <v>58</v>
      </c>
      <c r="E18" s="38"/>
      <c r="G18" s="38" t="s">
        <v>209</v>
      </c>
      <c r="H18" s="38">
        <v>140</v>
      </c>
      <c r="I18" s="40">
        <v>50000</v>
      </c>
      <c r="J18" s="41">
        <v>7000000</v>
      </c>
      <c r="K18" s="38"/>
    </row>
    <row r="19" spans="1:14">
      <c r="A19" s="38" t="s">
        <v>154</v>
      </c>
      <c r="B19" s="38" t="s">
        <v>155</v>
      </c>
      <c r="C19" s="40">
        <v>1500</v>
      </c>
      <c r="D19" s="38">
        <v>95</v>
      </c>
      <c r="E19" s="38"/>
      <c r="G19" s="38" t="s">
        <v>156</v>
      </c>
      <c r="H19" s="38">
        <v>155</v>
      </c>
      <c r="I19" s="40">
        <v>50000</v>
      </c>
      <c r="J19" s="41">
        <v>7750000</v>
      </c>
      <c r="K19" s="38"/>
    </row>
    <row r="20" spans="1:14">
      <c r="A20" s="38" t="s">
        <v>157</v>
      </c>
      <c r="B20" s="38" t="s">
        <v>158</v>
      </c>
      <c r="C20" s="40">
        <v>850</v>
      </c>
      <c r="D20" s="38">
        <v>29</v>
      </c>
      <c r="E20" s="38"/>
      <c r="G20" s="38" t="s">
        <v>159</v>
      </c>
      <c r="H20" s="38">
        <v>120</v>
      </c>
      <c r="I20" s="40">
        <v>50000</v>
      </c>
      <c r="J20" s="41">
        <v>6000000</v>
      </c>
      <c r="K20" s="38"/>
    </row>
    <row r="21" spans="1:14">
      <c r="A21" s="38" t="s">
        <v>160</v>
      </c>
      <c r="B21" s="38" t="s">
        <v>161</v>
      </c>
      <c r="C21" s="40">
        <v>1150</v>
      </c>
      <c r="D21" s="38">
        <v>65</v>
      </c>
      <c r="E21" s="38"/>
      <c r="G21" s="38" t="s">
        <v>210</v>
      </c>
      <c r="H21" s="38">
        <v>135</v>
      </c>
      <c r="I21" s="40">
        <v>50000</v>
      </c>
      <c r="J21" s="41">
        <v>6750000</v>
      </c>
      <c r="K21" s="38"/>
      <c r="M21" s="28" t="s">
        <v>162</v>
      </c>
    </row>
    <row r="22" spans="1:14">
      <c r="A22" s="38" t="s">
        <v>211</v>
      </c>
      <c r="B22" s="38" t="s">
        <v>163</v>
      </c>
      <c r="C22" s="40">
        <v>950</v>
      </c>
      <c r="D22" s="38">
        <v>55</v>
      </c>
      <c r="E22" s="38"/>
      <c r="G22" s="38" t="s">
        <v>212</v>
      </c>
      <c r="H22" s="38">
        <v>105</v>
      </c>
      <c r="I22" s="40">
        <v>50000</v>
      </c>
      <c r="J22" s="41">
        <v>5250000</v>
      </c>
      <c r="K22" s="38"/>
      <c r="M22" s="38" t="s">
        <v>164</v>
      </c>
      <c r="N22" s="38" t="s">
        <v>151</v>
      </c>
    </row>
    <row r="23" spans="1:14">
      <c r="A23" s="38" t="s">
        <v>213</v>
      </c>
      <c r="B23" s="38" t="s">
        <v>165</v>
      </c>
      <c r="C23" s="40">
        <v>1700</v>
      </c>
      <c r="D23" s="38">
        <v>80</v>
      </c>
      <c r="E23" s="38"/>
      <c r="G23" s="38" t="s">
        <v>214</v>
      </c>
      <c r="H23" s="38">
        <v>152</v>
      </c>
      <c r="I23" s="40">
        <v>50000</v>
      </c>
      <c r="J23" s="41">
        <v>7600000</v>
      </c>
      <c r="K23" s="38"/>
      <c r="M23" s="38" t="s">
        <v>215</v>
      </c>
      <c r="N23" s="38" t="s">
        <v>216</v>
      </c>
    </row>
    <row r="24" spans="1:14">
      <c r="A24" s="38" t="s">
        <v>217</v>
      </c>
      <c r="B24" s="38" t="s">
        <v>166</v>
      </c>
      <c r="C24" s="40">
        <v>850</v>
      </c>
      <c r="D24" s="38">
        <v>45</v>
      </c>
      <c r="E24" s="38"/>
      <c r="G24" s="38" t="s">
        <v>218</v>
      </c>
      <c r="H24" s="38">
        <v>95</v>
      </c>
      <c r="I24" s="40">
        <v>50000</v>
      </c>
      <c r="J24" s="41">
        <v>4750000</v>
      </c>
      <c r="K24" s="38"/>
      <c r="M24" s="38" t="s">
        <v>219</v>
      </c>
      <c r="N24" s="38" t="s">
        <v>220</v>
      </c>
    </row>
    <row r="25" spans="1:14">
      <c r="A25" s="38" t="s">
        <v>221</v>
      </c>
      <c r="B25" s="38" t="s">
        <v>167</v>
      </c>
      <c r="C25" s="40">
        <v>950</v>
      </c>
      <c r="D25" s="38">
        <v>63</v>
      </c>
      <c r="E25" s="38"/>
      <c r="G25" s="38" t="s">
        <v>222</v>
      </c>
      <c r="H25" s="38">
        <v>85</v>
      </c>
      <c r="I25" s="40">
        <v>50000</v>
      </c>
      <c r="J25" s="41">
        <v>4250000</v>
      </c>
      <c r="K25" s="38"/>
      <c r="M25" s="38" t="s">
        <v>223</v>
      </c>
      <c r="N25" s="38" t="s">
        <v>224</v>
      </c>
    </row>
    <row r="26" spans="1:14">
      <c r="G26" s="38" t="s">
        <v>225</v>
      </c>
      <c r="H26" s="38">
        <v>75</v>
      </c>
      <c r="I26" s="40">
        <v>50000</v>
      </c>
      <c r="J26" s="41">
        <v>3750000</v>
      </c>
      <c r="K26" s="38"/>
      <c r="M26" s="38" t="s">
        <v>226</v>
      </c>
      <c r="N26" s="38" t="s">
        <v>168</v>
      </c>
    </row>
    <row r="28" spans="1:14">
      <c r="A28" s="28" t="s">
        <v>227</v>
      </c>
      <c r="B28" s="37" t="s">
        <v>228</v>
      </c>
    </row>
    <row r="29" spans="1:14">
      <c r="A29" s="42" t="s">
        <v>229</v>
      </c>
      <c r="B29" s="42" t="s">
        <v>230</v>
      </c>
      <c r="C29" s="38" t="s">
        <v>231</v>
      </c>
      <c r="D29" s="38" t="s">
        <v>169</v>
      </c>
      <c r="E29" s="38" t="s">
        <v>170</v>
      </c>
    </row>
    <row r="30" spans="1:14">
      <c r="A30" s="38" t="s">
        <v>171</v>
      </c>
      <c r="B30" s="38" t="s">
        <v>172</v>
      </c>
      <c r="C30" s="38">
        <v>45</v>
      </c>
      <c r="D30" s="38">
        <v>15</v>
      </c>
      <c r="E30" s="38">
        <v>15</v>
      </c>
    </row>
    <row r="31" spans="1:14">
      <c r="A31" s="38" t="s">
        <v>232</v>
      </c>
      <c r="B31" s="38" t="s">
        <v>173</v>
      </c>
      <c r="C31" s="38">
        <v>35</v>
      </c>
      <c r="D31" s="38">
        <v>25</v>
      </c>
      <c r="E31" s="38">
        <v>21</v>
      </c>
    </row>
    <row r="32" spans="1:14">
      <c r="A32" s="38" t="s">
        <v>233</v>
      </c>
      <c r="B32" s="38" t="s">
        <v>174</v>
      </c>
      <c r="C32" s="38">
        <v>28</v>
      </c>
      <c r="D32" s="38">
        <v>18</v>
      </c>
      <c r="E32" s="38">
        <v>8</v>
      </c>
    </row>
    <row r="33" spans="1:5">
      <c r="A33" s="38" t="s">
        <v>171</v>
      </c>
      <c r="B33" s="38" t="s">
        <v>175</v>
      </c>
      <c r="C33" s="38">
        <v>32</v>
      </c>
      <c r="D33" s="38">
        <v>21</v>
      </c>
      <c r="E33" s="38">
        <v>16</v>
      </c>
    </row>
    <row r="34" spans="1:5">
      <c r="A34" s="38" t="s">
        <v>179</v>
      </c>
      <c r="B34" s="38" t="s">
        <v>176</v>
      </c>
      <c r="C34" s="38">
        <v>41</v>
      </c>
      <c r="D34" s="38">
        <v>19</v>
      </c>
      <c r="E34" s="38">
        <v>24</v>
      </c>
    </row>
    <row r="35" spans="1:5">
      <c r="A35" s="38" t="s">
        <v>233</v>
      </c>
      <c r="B35" s="38" t="s">
        <v>177</v>
      </c>
      <c r="C35" s="38">
        <v>25</v>
      </c>
      <c r="D35" s="38">
        <v>8</v>
      </c>
      <c r="E35" s="38">
        <v>16</v>
      </c>
    </row>
    <row r="36" spans="1:5">
      <c r="A36" s="38" t="s">
        <v>233</v>
      </c>
      <c r="B36" s="38" t="s">
        <v>178</v>
      </c>
      <c r="C36" s="38">
        <v>15</v>
      </c>
      <c r="D36" s="38">
        <v>13</v>
      </c>
      <c r="E36" s="38">
        <v>20</v>
      </c>
    </row>
    <row r="37" spans="1:5">
      <c r="A37" s="38" t="s">
        <v>232</v>
      </c>
      <c r="B37" s="38" t="s">
        <v>180</v>
      </c>
      <c r="C37" s="38">
        <v>36</v>
      </c>
      <c r="D37" s="38">
        <v>24</v>
      </c>
      <c r="E37" s="38">
        <v>17</v>
      </c>
    </row>
    <row r="38" spans="1:5">
      <c r="A38" s="38" t="s">
        <v>171</v>
      </c>
      <c r="B38" s="38" t="s">
        <v>181</v>
      </c>
      <c r="C38" s="38">
        <v>28</v>
      </c>
      <c r="D38" s="38">
        <v>17</v>
      </c>
      <c r="E38" s="38">
        <v>16</v>
      </c>
    </row>
    <row r="40" spans="1:5">
      <c r="A40" s="43" t="s">
        <v>234</v>
      </c>
    </row>
    <row r="41" spans="1:5">
      <c r="A41" s="38"/>
      <c r="C41" s="49" t="s">
        <v>182</v>
      </c>
      <c r="D41" s="49"/>
      <c r="E41" s="49"/>
    </row>
    <row r="42" spans="1:5">
      <c r="A42" s="38"/>
      <c r="C42" s="50"/>
      <c r="D42" s="50"/>
      <c r="E42" s="50"/>
    </row>
  </sheetData>
  <mergeCells count="5">
    <mergeCell ref="A2:A3"/>
    <mergeCell ref="B2:E2"/>
    <mergeCell ref="F2:F3"/>
    <mergeCell ref="C41:E41"/>
    <mergeCell ref="C42:E4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21"/>
  <sheetViews>
    <sheetView workbookViewId="0"/>
  </sheetViews>
  <sheetFormatPr defaultRowHeight="16.5"/>
  <cols>
    <col min="1" max="1" width="8.5" bestFit="1" customWidth="1"/>
    <col min="2" max="2" width="11.75" customWidth="1"/>
    <col min="3" max="4" width="8.5" bestFit="1" customWidth="1"/>
    <col min="5" max="5" width="9.375" customWidth="1"/>
    <col min="6" max="6" width="15.5" customWidth="1"/>
    <col min="7" max="7" width="7.875" customWidth="1"/>
    <col min="8" max="8" width="10.75" bestFit="1" customWidth="1"/>
    <col min="9" max="9" width="10.5" customWidth="1"/>
  </cols>
  <sheetData>
    <row r="1" spans="1:9">
      <c r="A1" t="s">
        <v>93</v>
      </c>
    </row>
    <row r="3" spans="1:9">
      <c r="A3" s="14" t="s">
        <v>7</v>
      </c>
      <c r="B3" s="14" t="s">
        <v>8</v>
      </c>
      <c r="C3" s="14" t="s">
        <v>9</v>
      </c>
      <c r="D3" s="14" t="s">
        <v>10</v>
      </c>
      <c r="E3" s="14" t="s">
        <v>11</v>
      </c>
      <c r="F3" s="14" t="s">
        <v>12</v>
      </c>
      <c r="G3" s="14" t="s">
        <v>13</v>
      </c>
      <c r="H3" s="14" t="s">
        <v>14</v>
      </c>
      <c r="I3" s="14" t="s">
        <v>15</v>
      </c>
    </row>
    <row r="4" spans="1:9">
      <c r="A4" s="9" t="s">
        <v>16</v>
      </c>
      <c r="B4" s="9" t="s">
        <v>17</v>
      </c>
      <c r="C4" s="14" t="s">
        <v>18</v>
      </c>
      <c r="D4" s="15">
        <v>118</v>
      </c>
      <c r="E4" s="14" t="s">
        <v>19</v>
      </c>
      <c r="F4" s="16">
        <v>693000000</v>
      </c>
      <c r="G4" s="14">
        <v>15</v>
      </c>
      <c r="H4" s="17">
        <v>39384</v>
      </c>
      <c r="I4" s="14">
        <v>730</v>
      </c>
    </row>
    <row r="5" spans="1:9">
      <c r="A5" s="9" t="s">
        <v>20</v>
      </c>
      <c r="B5" s="9" t="s">
        <v>21</v>
      </c>
      <c r="C5" s="14" t="s">
        <v>18</v>
      </c>
      <c r="D5" s="15">
        <v>60</v>
      </c>
      <c r="E5" s="14" t="s">
        <v>22</v>
      </c>
      <c r="F5" s="16">
        <v>730000000</v>
      </c>
      <c r="G5" s="14">
        <v>19</v>
      </c>
      <c r="H5" s="17">
        <v>43271</v>
      </c>
      <c r="I5" s="14">
        <v>580</v>
      </c>
    </row>
    <row r="6" spans="1:9">
      <c r="A6" s="9" t="s">
        <v>23</v>
      </c>
      <c r="B6" s="9" t="s">
        <v>24</v>
      </c>
      <c r="C6" s="14" t="s">
        <v>18</v>
      </c>
      <c r="D6" s="15">
        <v>76</v>
      </c>
      <c r="E6" s="14" t="s">
        <v>25</v>
      </c>
      <c r="F6" s="16">
        <v>470000000</v>
      </c>
      <c r="G6" s="14">
        <v>20</v>
      </c>
      <c r="H6" s="17">
        <v>42065</v>
      </c>
      <c r="I6" s="24">
        <v>450</v>
      </c>
    </row>
    <row r="7" spans="1:9">
      <c r="A7" s="9" t="s">
        <v>27</v>
      </c>
      <c r="B7" s="9" t="s">
        <v>28</v>
      </c>
      <c r="C7" s="14" t="s">
        <v>29</v>
      </c>
      <c r="D7" s="15">
        <v>60</v>
      </c>
      <c r="E7" s="14" t="s">
        <v>30</v>
      </c>
      <c r="F7" s="16">
        <v>220000000</v>
      </c>
      <c r="G7" s="14">
        <v>8</v>
      </c>
      <c r="H7" s="17">
        <v>34779</v>
      </c>
      <c r="I7" s="14">
        <v>640</v>
      </c>
    </row>
    <row r="8" spans="1:9">
      <c r="A8" s="9" t="s">
        <v>26</v>
      </c>
      <c r="B8" s="9" t="s">
        <v>21</v>
      </c>
      <c r="C8" s="14" t="s">
        <v>18</v>
      </c>
      <c r="D8" s="15">
        <v>85</v>
      </c>
      <c r="E8" s="14" t="s">
        <v>34</v>
      </c>
      <c r="F8" s="16">
        <v>710000000</v>
      </c>
      <c r="G8" s="14">
        <v>26</v>
      </c>
      <c r="H8" s="17">
        <v>43152</v>
      </c>
      <c r="I8" s="14">
        <v>255</v>
      </c>
    </row>
    <row r="9" spans="1:9">
      <c r="A9" s="9" t="s">
        <v>35</v>
      </c>
      <c r="B9" s="9" t="s">
        <v>24</v>
      </c>
      <c r="C9" s="14" t="s">
        <v>29</v>
      </c>
      <c r="D9" s="15">
        <v>60</v>
      </c>
      <c r="E9" s="14" t="s">
        <v>22</v>
      </c>
      <c r="F9" s="16">
        <v>490000000</v>
      </c>
      <c r="G9" s="14">
        <v>29</v>
      </c>
      <c r="H9" s="17">
        <v>43606</v>
      </c>
      <c r="I9" s="14">
        <v>610</v>
      </c>
    </row>
    <row r="10" spans="1:9">
      <c r="A10" s="9" t="s">
        <v>31</v>
      </c>
      <c r="B10" s="9" t="s">
        <v>32</v>
      </c>
      <c r="C10" s="14" t="s">
        <v>18</v>
      </c>
      <c r="D10" s="15">
        <v>170</v>
      </c>
      <c r="E10" s="14" t="s">
        <v>19</v>
      </c>
      <c r="F10" s="16">
        <v>1421000000</v>
      </c>
      <c r="G10" s="14">
        <v>16</v>
      </c>
      <c r="H10" s="17">
        <v>37685</v>
      </c>
      <c r="I10" s="14">
        <v>180</v>
      </c>
    </row>
    <row r="11" spans="1:9">
      <c r="A11" s="9" t="s">
        <v>23</v>
      </c>
      <c r="B11" s="9" t="s">
        <v>32</v>
      </c>
      <c r="C11" s="14" t="s">
        <v>18</v>
      </c>
      <c r="D11" s="15">
        <v>85</v>
      </c>
      <c r="E11" s="14" t="s">
        <v>34</v>
      </c>
      <c r="F11" s="16">
        <v>690000000</v>
      </c>
      <c r="G11" s="14">
        <v>17</v>
      </c>
      <c r="H11" s="17">
        <v>42115</v>
      </c>
      <c r="I11" s="24">
        <v>410</v>
      </c>
    </row>
    <row r="12" spans="1:9">
      <c r="A12" s="9" t="s">
        <v>16</v>
      </c>
      <c r="B12" s="9" t="s">
        <v>36</v>
      </c>
      <c r="C12" s="14" t="s">
        <v>29</v>
      </c>
      <c r="D12" s="15">
        <v>85</v>
      </c>
      <c r="E12" s="14" t="s">
        <v>25</v>
      </c>
      <c r="F12" s="16">
        <v>280000000</v>
      </c>
      <c r="G12" s="14">
        <v>21</v>
      </c>
      <c r="H12" s="17">
        <v>38095</v>
      </c>
      <c r="I12" s="14">
        <v>280</v>
      </c>
    </row>
    <row r="13" spans="1:9">
      <c r="A13" s="9" t="s">
        <v>23</v>
      </c>
      <c r="B13" s="9" t="s">
        <v>37</v>
      </c>
      <c r="C13" s="14" t="s">
        <v>18</v>
      </c>
      <c r="D13" s="15">
        <v>75</v>
      </c>
      <c r="E13" s="14" t="s">
        <v>34</v>
      </c>
      <c r="F13" s="16">
        <v>680000000</v>
      </c>
      <c r="G13" s="14">
        <v>15</v>
      </c>
      <c r="H13" s="17">
        <v>42861</v>
      </c>
      <c r="I13" s="14">
        <v>620</v>
      </c>
    </row>
    <row r="14" spans="1:9">
      <c r="A14" s="9" t="s">
        <v>31</v>
      </c>
      <c r="B14" s="9" t="s">
        <v>36</v>
      </c>
      <c r="C14" s="14" t="s">
        <v>29</v>
      </c>
      <c r="D14" s="15">
        <v>85</v>
      </c>
      <c r="E14" s="14" t="s">
        <v>25</v>
      </c>
      <c r="F14" s="16">
        <v>430000000</v>
      </c>
      <c r="G14" s="14">
        <v>15</v>
      </c>
      <c r="H14" s="17">
        <v>41264</v>
      </c>
      <c r="I14" s="14">
        <v>520</v>
      </c>
    </row>
    <row r="15" spans="1:9">
      <c r="A15" s="9" t="s">
        <v>20</v>
      </c>
      <c r="B15" s="9" t="s">
        <v>37</v>
      </c>
      <c r="C15" s="14" t="s">
        <v>18</v>
      </c>
      <c r="D15" s="15">
        <v>85</v>
      </c>
      <c r="E15" s="14" t="s">
        <v>25</v>
      </c>
      <c r="F15" s="16">
        <v>445000000</v>
      </c>
      <c r="G15" s="14">
        <v>21</v>
      </c>
      <c r="H15" s="17">
        <v>39114</v>
      </c>
      <c r="I15" s="24">
        <v>475</v>
      </c>
    </row>
    <row r="16" spans="1:9">
      <c r="A16" s="9" t="s">
        <v>26</v>
      </c>
      <c r="B16" s="9" t="s">
        <v>24</v>
      </c>
      <c r="C16" s="14" t="s">
        <v>18</v>
      </c>
      <c r="D16" s="15">
        <v>61</v>
      </c>
      <c r="E16" s="14" t="s">
        <v>30</v>
      </c>
      <c r="F16" s="16">
        <v>445000000</v>
      </c>
      <c r="G16" s="14">
        <v>7</v>
      </c>
      <c r="H16" s="17">
        <v>34620</v>
      </c>
      <c r="I16" s="24">
        <v>840</v>
      </c>
    </row>
    <row r="17" spans="1:9">
      <c r="A17" s="9" t="s">
        <v>35</v>
      </c>
      <c r="B17" s="9" t="s">
        <v>38</v>
      </c>
      <c r="C17" s="14" t="s">
        <v>18</v>
      </c>
      <c r="D17" s="15">
        <v>85</v>
      </c>
      <c r="E17" s="14" t="s">
        <v>34</v>
      </c>
      <c r="F17" s="16">
        <v>340000000</v>
      </c>
      <c r="G17" s="14">
        <v>2</v>
      </c>
      <c r="H17" s="17">
        <v>37261</v>
      </c>
      <c r="I17" s="24">
        <v>470</v>
      </c>
    </row>
    <row r="18" spans="1:9">
      <c r="A18" s="9" t="s">
        <v>27</v>
      </c>
      <c r="B18" s="9" t="s">
        <v>39</v>
      </c>
      <c r="C18" s="14" t="s">
        <v>18</v>
      </c>
      <c r="D18" s="15">
        <v>114</v>
      </c>
      <c r="E18" s="14" t="s">
        <v>19</v>
      </c>
      <c r="F18" s="16">
        <v>648000000</v>
      </c>
      <c r="G18" s="14">
        <v>28</v>
      </c>
      <c r="H18" s="17">
        <v>42056</v>
      </c>
      <c r="I18" s="14">
        <v>365</v>
      </c>
    </row>
    <row r="19" spans="1:9">
      <c r="A19" s="9" t="s">
        <v>35</v>
      </c>
      <c r="B19" s="9" t="s">
        <v>37</v>
      </c>
      <c r="C19" s="14" t="s">
        <v>29</v>
      </c>
      <c r="D19" s="15">
        <v>85</v>
      </c>
      <c r="E19" s="14" t="s">
        <v>34</v>
      </c>
      <c r="F19" s="16">
        <v>430000000</v>
      </c>
      <c r="G19" s="14">
        <v>10</v>
      </c>
      <c r="H19" s="17">
        <v>38740</v>
      </c>
      <c r="I19" s="14">
        <v>390</v>
      </c>
    </row>
    <row r="20" spans="1:9">
      <c r="A20" s="9" t="s">
        <v>20</v>
      </c>
      <c r="B20" s="9" t="s">
        <v>40</v>
      </c>
      <c r="C20" s="14" t="s">
        <v>18</v>
      </c>
      <c r="D20" s="15">
        <v>126</v>
      </c>
      <c r="E20" s="14" t="s">
        <v>19</v>
      </c>
      <c r="F20" s="16">
        <v>1400000000</v>
      </c>
      <c r="G20" s="14">
        <v>23</v>
      </c>
      <c r="H20" s="17">
        <v>40929</v>
      </c>
      <c r="I20" s="24">
        <v>490</v>
      </c>
    </row>
    <row r="21" spans="1:9">
      <c r="A21" s="9" t="s">
        <v>35</v>
      </c>
      <c r="B21" s="9" t="s">
        <v>33</v>
      </c>
      <c r="C21" s="14" t="s">
        <v>18</v>
      </c>
      <c r="D21" s="15">
        <v>99</v>
      </c>
      <c r="E21" s="14" t="s">
        <v>19</v>
      </c>
      <c r="F21" s="16">
        <v>940000000</v>
      </c>
      <c r="G21" s="14">
        <v>8</v>
      </c>
      <c r="H21" s="17">
        <v>42277</v>
      </c>
      <c r="I21" s="14">
        <v>590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16"/>
  <sheetViews>
    <sheetView workbookViewId="0"/>
  </sheetViews>
  <sheetFormatPr defaultRowHeight="16.5"/>
  <cols>
    <col min="1" max="1" width="7.875" customWidth="1"/>
    <col min="4" max="4" width="9.5" bestFit="1" customWidth="1"/>
    <col min="6" max="6" width="10.625" bestFit="1" customWidth="1"/>
    <col min="8" max="9" width="12.625" bestFit="1" customWidth="1"/>
  </cols>
  <sheetData>
    <row r="1" spans="1:9" ht="26.25">
      <c r="A1" s="51" t="s">
        <v>94</v>
      </c>
      <c r="B1" s="51"/>
      <c r="C1" s="51"/>
      <c r="D1" s="51"/>
      <c r="E1" s="51"/>
      <c r="F1" s="51"/>
      <c r="G1" s="51"/>
      <c r="H1" s="51"/>
      <c r="I1" s="51"/>
    </row>
    <row r="2" spans="1:9">
      <c r="A2" s="3"/>
      <c r="B2" s="3"/>
      <c r="C2" s="3"/>
      <c r="D2" s="3"/>
      <c r="E2" s="3"/>
      <c r="F2" s="3"/>
      <c r="G2" s="3"/>
      <c r="H2" s="3"/>
    </row>
    <row r="3" spans="1:9">
      <c r="A3" s="23" t="s">
        <v>95</v>
      </c>
      <c r="B3" s="23" t="s">
        <v>96</v>
      </c>
      <c r="C3" s="23" t="s">
        <v>97</v>
      </c>
      <c r="D3" s="23" t="s">
        <v>98</v>
      </c>
      <c r="E3" s="23" t="s">
        <v>99</v>
      </c>
      <c r="F3" s="23" t="s">
        <v>100</v>
      </c>
      <c r="G3" s="23" t="s">
        <v>101</v>
      </c>
      <c r="H3" s="23" t="s">
        <v>102</v>
      </c>
      <c r="I3" s="4" t="s">
        <v>103</v>
      </c>
    </row>
    <row r="4" spans="1:9">
      <c r="A4" s="23" t="s">
        <v>104</v>
      </c>
      <c r="B4" s="23" t="s">
        <v>105</v>
      </c>
      <c r="C4" s="23" t="s">
        <v>106</v>
      </c>
      <c r="D4" s="5">
        <v>45809</v>
      </c>
      <c r="E4" s="23">
        <v>60</v>
      </c>
      <c r="F4" s="6">
        <v>1500000</v>
      </c>
      <c r="G4" s="25">
        <v>52</v>
      </c>
      <c r="H4" s="7">
        <f t="shared" ref="H4:H13" si="0">F4*G4</f>
        <v>78000000</v>
      </c>
      <c r="I4" s="8">
        <f t="shared" ref="I4:I14" si="1">H4*$H$16</f>
        <v>15600000</v>
      </c>
    </row>
    <row r="5" spans="1:9">
      <c r="A5" s="23" t="s">
        <v>6</v>
      </c>
      <c r="B5" s="23" t="s">
        <v>107</v>
      </c>
      <c r="C5" s="23" t="s">
        <v>108</v>
      </c>
      <c r="D5" s="5">
        <v>45809</v>
      </c>
      <c r="E5" s="23">
        <v>80</v>
      </c>
      <c r="F5" s="6">
        <v>350000</v>
      </c>
      <c r="G5" s="25">
        <v>54</v>
      </c>
      <c r="H5" s="7">
        <f t="shared" si="0"/>
        <v>18900000</v>
      </c>
      <c r="I5" s="8">
        <f t="shared" si="1"/>
        <v>3780000</v>
      </c>
    </row>
    <row r="6" spans="1:9">
      <c r="A6" s="23" t="s">
        <v>104</v>
      </c>
      <c r="B6" s="23" t="s">
        <v>110</v>
      </c>
      <c r="C6" s="23" t="s">
        <v>111</v>
      </c>
      <c r="D6" s="5">
        <v>45808</v>
      </c>
      <c r="E6" s="23">
        <v>60</v>
      </c>
      <c r="F6" s="6">
        <v>1500000</v>
      </c>
      <c r="G6" s="25">
        <v>50</v>
      </c>
      <c r="H6" s="7">
        <f t="shared" si="0"/>
        <v>75000000</v>
      </c>
      <c r="I6" s="8">
        <f t="shared" si="1"/>
        <v>15000000</v>
      </c>
    </row>
    <row r="7" spans="1:9">
      <c r="A7" s="23" t="s">
        <v>104</v>
      </c>
      <c r="B7" s="23" t="s">
        <v>112</v>
      </c>
      <c r="C7" s="23" t="s">
        <v>113</v>
      </c>
      <c r="D7" s="5">
        <v>45808</v>
      </c>
      <c r="E7" s="23">
        <v>60</v>
      </c>
      <c r="F7" s="6">
        <v>1500000</v>
      </c>
      <c r="G7" s="25">
        <v>55</v>
      </c>
      <c r="H7" s="7">
        <f t="shared" si="0"/>
        <v>82500000</v>
      </c>
      <c r="I7" s="8">
        <f t="shared" si="1"/>
        <v>16500000</v>
      </c>
    </row>
    <row r="8" spans="1:9">
      <c r="A8" s="23" t="s">
        <v>114</v>
      </c>
      <c r="B8" s="23" t="s">
        <v>115</v>
      </c>
      <c r="C8" s="23" t="s">
        <v>116</v>
      </c>
      <c r="D8" s="5">
        <v>45808</v>
      </c>
      <c r="E8" s="23">
        <v>40</v>
      </c>
      <c r="F8" s="6">
        <v>280000</v>
      </c>
      <c r="G8" s="25">
        <v>24</v>
      </c>
      <c r="H8" s="7">
        <f t="shared" si="0"/>
        <v>6720000</v>
      </c>
      <c r="I8" s="8">
        <f t="shared" si="1"/>
        <v>1344000</v>
      </c>
    </row>
    <row r="9" spans="1:9">
      <c r="A9" s="23" t="s">
        <v>6</v>
      </c>
      <c r="B9" s="23" t="s">
        <v>117</v>
      </c>
      <c r="C9" s="23" t="s">
        <v>118</v>
      </c>
      <c r="D9" s="5">
        <v>45809</v>
      </c>
      <c r="E9" s="23">
        <v>50</v>
      </c>
      <c r="F9" s="6">
        <v>350000</v>
      </c>
      <c r="G9" s="25">
        <v>40</v>
      </c>
      <c r="H9" s="7">
        <f t="shared" si="0"/>
        <v>14000000</v>
      </c>
      <c r="I9" s="8">
        <f t="shared" si="1"/>
        <v>2800000</v>
      </c>
    </row>
    <row r="10" spans="1:9">
      <c r="A10" s="23" t="s">
        <v>119</v>
      </c>
      <c r="B10" s="23" t="s">
        <v>120</v>
      </c>
      <c r="C10" s="23" t="s">
        <v>121</v>
      </c>
      <c r="D10" s="5">
        <v>45809</v>
      </c>
      <c r="E10" s="23">
        <v>30</v>
      </c>
      <c r="F10" s="6">
        <v>280000</v>
      </c>
      <c r="G10" s="25">
        <v>21</v>
      </c>
      <c r="H10" s="7">
        <f t="shared" si="0"/>
        <v>5880000</v>
      </c>
      <c r="I10" s="8">
        <f t="shared" si="1"/>
        <v>1176000</v>
      </c>
    </row>
    <row r="11" spans="1:9">
      <c r="A11" s="23" t="s">
        <v>122</v>
      </c>
      <c r="B11" s="23" t="s">
        <v>123</v>
      </c>
      <c r="C11" s="23" t="s">
        <v>124</v>
      </c>
      <c r="D11" s="5">
        <v>45809</v>
      </c>
      <c r="E11" s="23">
        <v>80</v>
      </c>
      <c r="F11" s="6">
        <v>1500000</v>
      </c>
      <c r="G11" s="25">
        <v>64</v>
      </c>
      <c r="H11" s="7">
        <f t="shared" si="0"/>
        <v>96000000</v>
      </c>
      <c r="I11" s="8">
        <f t="shared" si="1"/>
        <v>19200000</v>
      </c>
    </row>
    <row r="12" spans="1:9">
      <c r="A12" s="23" t="s">
        <v>114</v>
      </c>
      <c r="B12" s="23" t="s">
        <v>107</v>
      </c>
      <c r="C12" s="23" t="s">
        <v>125</v>
      </c>
      <c r="D12" s="5">
        <v>45809</v>
      </c>
      <c r="E12" s="23">
        <v>50</v>
      </c>
      <c r="F12" s="6">
        <v>280000</v>
      </c>
      <c r="G12" s="25">
        <v>35</v>
      </c>
      <c r="H12" s="7">
        <f t="shared" si="0"/>
        <v>9800000</v>
      </c>
      <c r="I12" s="8">
        <f t="shared" si="1"/>
        <v>1960000</v>
      </c>
    </row>
    <row r="13" spans="1:9">
      <c r="A13" s="23" t="s">
        <v>109</v>
      </c>
      <c r="B13" s="23" t="s">
        <v>107</v>
      </c>
      <c r="C13" s="23" t="s">
        <v>126</v>
      </c>
      <c r="D13" s="5">
        <v>45809</v>
      </c>
      <c r="E13" s="23">
        <v>60</v>
      </c>
      <c r="F13" s="6">
        <v>1500000</v>
      </c>
      <c r="G13" s="25">
        <v>47</v>
      </c>
      <c r="H13" s="7">
        <f t="shared" si="0"/>
        <v>70500000</v>
      </c>
      <c r="I13" s="8">
        <f t="shared" si="1"/>
        <v>14100000</v>
      </c>
    </row>
    <row r="14" spans="1:9">
      <c r="A14" s="52" t="s">
        <v>127</v>
      </c>
      <c r="B14" s="52"/>
      <c r="C14" s="52"/>
      <c r="D14" s="52"/>
      <c r="E14" s="52"/>
      <c r="F14" s="52"/>
      <c r="G14" s="52"/>
      <c r="H14" s="7">
        <f>SUM(H4:H13)</f>
        <v>457300000</v>
      </c>
      <c r="I14" s="8">
        <f t="shared" si="1"/>
        <v>91460000</v>
      </c>
    </row>
    <row r="15" spans="1:9">
      <c r="A15" s="3"/>
      <c r="B15" s="3"/>
      <c r="C15" s="3"/>
      <c r="D15" s="3"/>
      <c r="E15" s="3"/>
      <c r="F15" s="3"/>
      <c r="G15" s="3"/>
      <c r="H15" s="3"/>
    </row>
    <row r="16" spans="1:9">
      <c r="F16" s="3"/>
      <c r="G16" s="23" t="s">
        <v>128</v>
      </c>
      <c r="H16" s="53">
        <v>0.2</v>
      </c>
      <c r="I16" s="53"/>
    </row>
  </sheetData>
  <mergeCells count="3">
    <mergeCell ref="A1:I1"/>
    <mergeCell ref="A14:G14"/>
    <mergeCell ref="H16:I16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C17"/>
  <sheetViews>
    <sheetView workbookViewId="0"/>
  </sheetViews>
  <sheetFormatPr defaultRowHeight="16.5"/>
  <cols>
    <col min="1" max="1" width="36" bestFit="1" customWidth="1"/>
    <col min="2" max="2" width="21.625" bestFit="1" customWidth="1"/>
    <col min="3" max="3" width="9.875" customWidth="1"/>
  </cols>
  <sheetData>
    <row r="2" spans="1:3">
      <c r="A2" s="10" t="s">
        <v>41</v>
      </c>
      <c r="B2" s="10" t="s">
        <v>42</v>
      </c>
      <c r="C2" s="10" t="s">
        <v>73</v>
      </c>
    </row>
    <row r="3" spans="1:3">
      <c r="A3" s="11" t="s">
        <v>43</v>
      </c>
      <c r="B3" s="11" t="s">
        <v>44</v>
      </c>
      <c r="C3" s="12">
        <v>2015</v>
      </c>
    </row>
    <row r="4" spans="1:3">
      <c r="A4" s="11" t="s">
        <v>45</v>
      </c>
      <c r="B4" s="11" t="s">
        <v>46</v>
      </c>
      <c r="C4" s="13">
        <v>2015</v>
      </c>
    </row>
    <row r="5" spans="1:3">
      <c r="A5" s="11" t="s">
        <v>47</v>
      </c>
      <c r="B5" s="11" t="s">
        <v>48</v>
      </c>
      <c r="C5" s="12">
        <v>2015</v>
      </c>
    </row>
    <row r="6" spans="1:3">
      <c r="A6" s="11" t="s">
        <v>49</v>
      </c>
      <c r="B6" s="11" t="s">
        <v>50</v>
      </c>
      <c r="C6" s="12">
        <v>2015</v>
      </c>
    </row>
    <row r="7" spans="1:3">
      <c r="A7" s="11" t="s">
        <v>51</v>
      </c>
      <c r="B7" s="11" t="s">
        <v>52</v>
      </c>
      <c r="C7" s="12">
        <v>2013</v>
      </c>
    </row>
    <row r="8" spans="1:3">
      <c r="A8" s="11" t="s">
        <v>53</v>
      </c>
      <c r="B8" s="11" t="s">
        <v>54</v>
      </c>
      <c r="C8" s="13">
        <v>2016</v>
      </c>
    </row>
    <row r="9" spans="1:3">
      <c r="A9" s="11" t="s">
        <v>55</v>
      </c>
      <c r="B9" s="11" t="s">
        <v>56</v>
      </c>
      <c r="C9" s="12">
        <v>2016</v>
      </c>
    </row>
    <row r="10" spans="1:3">
      <c r="A10" s="11" t="s">
        <v>57</v>
      </c>
      <c r="B10" s="11" t="s">
        <v>58</v>
      </c>
      <c r="C10" s="12">
        <v>2012</v>
      </c>
    </row>
    <row r="11" spans="1:3">
      <c r="A11" s="11" t="s">
        <v>59</v>
      </c>
      <c r="B11" s="11" t="s">
        <v>60</v>
      </c>
      <c r="C11" s="12">
        <v>2015</v>
      </c>
    </row>
    <row r="12" spans="1:3">
      <c r="A12" s="11" t="s">
        <v>61</v>
      </c>
      <c r="B12" s="11" t="s">
        <v>62</v>
      </c>
      <c r="C12" s="12">
        <v>2016</v>
      </c>
    </row>
    <row r="13" spans="1:3">
      <c r="A13" s="11" t="s">
        <v>63</v>
      </c>
      <c r="B13" s="11" t="s">
        <v>64</v>
      </c>
      <c r="C13" s="12">
        <v>2015</v>
      </c>
    </row>
    <row r="14" spans="1:3">
      <c r="A14" s="11" t="s">
        <v>65</v>
      </c>
      <c r="B14" s="11" t="s">
        <v>66</v>
      </c>
      <c r="C14" s="12">
        <v>2015</v>
      </c>
    </row>
    <row r="15" spans="1:3">
      <c r="A15" s="11" t="s">
        <v>67</v>
      </c>
      <c r="B15" s="11" t="s">
        <v>68</v>
      </c>
      <c r="C15" s="12">
        <v>2016</v>
      </c>
    </row>
    <row r="16" spans="1:3">
      <c r="A16" s="11" t="s">
        <v>69</v>
      </c>
      <c r="B16" s="11" t="s">
        <v>70</v>
      </c>
      <c r="C16" s="12">
        <v>2013</v>
      </c>
    </row>
    <row r="17" spans="1:3">
      <c r="A17" s="11" t="s">
        <v>71</v>
      </c>
      <c r="B17" s="11" t="s">
        <v>72</v>
      </c>
      <c r="C17" s="13">
        <v>2016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2:F7"/>
  <sheetViews>
    <sheetView workbookViewId="0"/>
  </sheetViews>
  <sheetFormatPr defaultRowHeight="16.5"/>
  <cols>
    <col min="2" max="2" width="17.75" bestFit="1" customWidth="1"/>
  </cols>
  <sheetData>
    <row r="2" spans="2:6">
      <c r="B2" t="s">
        <v>129</v>
      </c>
    </row>
    <row r="4" spans="2:6">
      <c r="B4" s="1" t="s">
        <v>0</v>
      </c>
      <c r="C4" s="1" t="s">
        <v>1</v>
      </c>
      <c r="D4" s="1" t="s">
        <v>2</v>
      </c>
      <c r="E4" s="1" t="s">
        <v>235</v>
      </c>
      <c r="F4" s="1" t="s">
        <v>236</v>
      </c>
    </row>
    <row r="5" spans="2:6">
      <c r="B5" s="1" t="s">
        <v>3</v>
      </c>
      <c r="C5" s="2">
        <v>4125</v>
      </c>
      <c r="D5" s="2">
        <v>3248</v>
      </c>
      <c r="E5" s="2">
        <v>3550</v>
      </c>
      <c r="F5" s="2">
        <v>4358</v>
      </c>
    </row>
    <row r="6" spans="2:6">
      <c r="B6" s="1" t="s">
        <v>4</v>
      </c>
      <c r="C6" s="2">
        <v>2120</v>
      </c>
      <c r="D6" s="2">
        <v>3592</v>
      </c>
      <c r="E6" s="2">
        <v>2621</v>
      </c>
      <c r="F6" s="2">
        <v>1850</v>
      </c>
    </row>
    <row r="7" spans="2:6">
      <c r="B7" s="1" t="s">
        <v>5</v>
      </c>
      <c r="C7" s="2">
        <v>1020</v>
      </c>
      <c r="D7" s="2">
        <v>1150</v>
      </c>
      <c r="E7" s="2">
        <v>2750</v>
      </c>
      <c r="F7" s="2">
        <v>1820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'기본작업-3'!거래처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2021-09-01T10:05:05Z</dcterms:created>
  <dcterms:modified xsi:type="dcterms:W3CDTF">2023-10-12T10:28:29Z</dcterms:modified>
</cp:coreProperties>
</file>