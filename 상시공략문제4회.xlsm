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omments1.xml" ContentType="application/vnd.openxmlformats-officedocument.spreadsheetml.comment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7726" codeName="{1BF75E64-36B4-4512-B9E4-3ED0869CA821}"/>
  <workbookPr/>
  <mc:AlternateContent xmlns:mc="http://schemas.openxmlformats.org/markup-compatibility/2006">
    <mc:Choice Requires="x15">
      <x15ac:absPath xmlns:x15ac="http://schemas.microsoft.com/office/spreadsheetml/2010/11/ac" url="C:\tresa\2024_컴활\6826(실기)\2024컴활2급(상시)\상시공략문제\"/>
    </mc:Choice>
  </mc:AlternateContent>
  <xr:revisionPtr revIDLastSave="0" documentId="13_ncr:1_{8BAD07AF-C48F-43FA-89FB-1474166D56A8}" xr6:coauthVersionLast="47" xr6:coauthVersionMax="47" xr10:uidLastSave="{00000000-0000-0000-0000-000000000000}"/>
  <bookViews>
    <workbookView xWindow="-108" yWindow="-108" windowWidth="23256" windowHeight="12576" tabRatio="818" activeTab="7" xr2:uid="{00000000-000D-0000-FFFF-FFFF00000000}"/>
  </bookViews>
  <sheets>
    <sheet name="기본작업-1" sheetId="1" r:id="rId1"/>
    <sheet name="기본작업-2" sheetId="2" r:id="rId2"/>
    <sheet name="기본작업-3" sheetId="3" r:id="rId3"/>
    <sheet name="계산작업" sheetId="10" r:id="rId4"/>
    <sheet name="분석작업-1" sheetId="9" r:id="rId5"/>
    <sheet name="분석작업-2" sheetId="6" r:id="rId6"/>
    <sheet name="매크로작업" sheetId="7" r:id="rId7"/>
    <sheet name="차트작업" sheetId="8" r:id="rId8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G5" i="7" l="1"/>
  <c r="G6" i="7"/>
  <c r="G7" i="7"/>
  <c r="G8" i="7"/>
  <c r="G9" i="7"/>
  <c r="G10" i="7"/>
  <c r="G11" i="7"/>
  <c r="G12" i="7"/>
  <c r="G13" i="7"/>
  <c r="G14" i="7"/>
  <c r="G15" i="7"/>
  <c r="G4" i="7"/>
  <c r="D31" i="10"/>
  <c r="D32" i="10"/>
  <c r="D33" i="10"/>
  <c r="D34" i="10"/>
  <c r="D35" i="10"/>
  <c r="D36" i="10"/>
  <c r="D37" i="10"/>
  <c r="D38" i="10"/>
  <c r="D39" i="10"/>
  <c r="D30" i="10"/>
  <c r="J24" i="10"/>
  <c r="E17" i="10"/>
  <c r="K4" i="10" a="1"/>
  <c r="K4" i="10"/>
  <c r="K5" i="10" a="1"/>
  <c r="K5" i="10"/>
  <c r="K6" i="10" a="1"/>
  <c r="K6" i="10"/>
  <c r="K7" i="10" a="1"/>
  <c r="K7" i="10"/>
  <c r="K8" i="10" a="1"/>
  <c r="K8" i="10"/>
  <c r="K9" i="10" a="1"/>
  <c r="K9" i="10"/>
  <c r="K10" i="10" a="1"/>
  <c r="K10" i="10"/>
  <c r="K3" i="10" a="1"/>
  <c r="K3" i="10"/>
  <c r="E13" i="10"/>
  <c r="I5" i="3"/>
  <c r="I6" i="3"/>
  <c r="I7" i="3"/>
  <c r="I8" i="3"/>
  <c r="I9" i="3"/>
  <c r="I10" i="3"/>
  <c r="I11" i="3"/>
  <c r="I12" i="3"/>
  <c r="I13" i="3"/>
  <c r="I14" i="3"/>
  <c r="I15" i="3"/>
  <c r="I16" i="3"/>
  <c r="I17" i="3"/>
  <c r="I18" i="3"/>
  <c r="I19" i="3"/>
  <c r="I20" i="3"/>
  <c r="I4" i="3"/>
  <c r="B6" i="6"/>
  <c r="B5" i="6"/>
  <c r="B7" i="6" l="1"/>
  <c r="B10" i="6" s="1"/>
  <c r="C7" i="8"/>
  <c r="C4" i="8"/>
  <c r="E4" i="6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Windows User</author>
  </authors>
  <commentList>
    <comment ref="G9" authorId="0" shapeId="0" xr:uid="{109F85B6-C765-44CD-ADDA-53F6DCD8F758}">
      <text>
        <r>
          <rPr>
            <sz val="9"/>
            <color indexed="81"/>
            <rFont val="돋움"/>
            <family val="3"/>
            <charset val="129"/>
          </rPr>
          <t>최대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판매량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<sst xmlns="http://schemas.openxmlformats.org/spreadsheetml/2006/main" count="348" uniqueCount="280">
  <si>
    <t>제품명</t>
    <phoneticPr fontId="1" type="noConversion"/>
  </si>
  <si>
    <t>판매금액</t>
    <phoneticPr fontId="1" type="noConversion"/>
  </si>
  <si>
    <t>할인금액</t>
    <phoneticPr fontId="1" type="noConversion"/>
  </si>
  <si>
    <t>세탁기</t>
    <phoneticPr fontId="1" type="noConversion"/>
  </si>
  <si>
    <t>공기청정기</t>
    <phoneticPr fontId="1" type="noConversion"/>
  </si>
  <si>
    <t>건조기</t>
    <phoneticPr fontId="1" type="noConversion"/>
  </si>
  <si>
    <t>냉장고</t>
    <phoneticPr fontId="1" type="noConversion"/>
  </si>
  <si>
    <t>에어컨</t>
    <phoneticPr fontId="1" type="noConversion"/>
  </si>
  <si>
    <t>ID번호</t>
  </si>
  <si>
    <t>성명</t>
  </si>
  <si>
    <t>교육차수</t>
  </si>
  <si>
    <t>인공지능</t>
  </si>
  <si>
    <t>빅데이터분석</t>
  </si>
  <si>
    <t>로봇공학</t>
  </si>
  <si>
    <t>사물인터넷</t>
  </si>
  <si>
    <t>3D프린팅</t>
  </si>
  <si>
    <t>A0145</t>
  </si>
  <si>
    <t>김서연</t>
  </si>
  <si>
    <t>B0256</t>
  </si>
  <si>
    <t>정정희</t>
  </si>
  <si>
    <t>D0489</t>
  </si>
  <si>
    <t>강주미</t>
  </si>
  <si>
    <t>A0134</t>
  </si>
  <si>
    <t>고인철</t>
  </si>
  <si>
    <t>C0317</t>
  </si>
  <si>
    <t>최우빈</t>
  </si>
  <si>
    <t>C0364</t>
  </si>
  <si>
    <t>박사랑</t>
  </si>
  <si>
    <t>E0535</t>
  </si>
  <si>
    <t>지연우</t>
  </si>
  <si>
    <t>A0154</t>
  </si>
  <si>
    <t>소희진</t>
  </si>
  <si>
    <t>C0374</t>
  </si>
  <si>
    <t>조병헌</t>
  </si>
  <si>
    <t>D0428</t>
  </si>
  <si>
    <t>윤병동</t>
  </si>
  <si>
    <t>A0164</t>
  </si>
  <si>
    <t>변순용</t>
  </si>
  <si>
    <t>E0568</t>
  </si>
  <si>
    <t>이지혜</t>
  </si>
  <si>
    <t>B0288</t>
  </si>
  <si>
    <t>권영수</t>
  </si>
  <si>
    <t>A0141</t>
  </si>
  <si>
    <t>허재두</t>
  </si>
  <si>
    <t>C0321</t>
  </si>
  <si>
    <t>류미영</t>
  </si>
  <si>
    <t>B0219</t>
  </si>
  <si>
    <t>최헌준</t>
  </si>
  <si>
    <t>D0439</t>
  </si>
  <si>
    <t>송영미</t>
  </si>
  <si>
    <t>판매수량</t>
    <phoneticPr fontId="1" type="noConversion"/>
  </si>
  <si>
    <t>매출액</t>
    <phoneticPr fontId="1" type="noConversion"/>
  </si>
  <si>
    <t>판매수익</t>
    <phoneticPr fontId="1" type="noConversion"/>
  </si>
  <si>
    <t>상공 고객관리 현황</t>
    <phoneticPr fontId="1" type="noConversion"/>
  </si>
  <si>
    <t>응시번호</t>
    <phoneticPr fontId="1" type="noConversion"/>
  </si>
  <si>
    <t>합계</t>
    <phoneticPr fontId="1" type="noConversion"/>
  </si>
  <si>
    <t>이름</t>
    <phoneticPr fontId="1" type="noConversion"/>
  </si>
  <si>
    <t>강민주</t>
    <phoneticPr fontId="1" type="noConversion"/>
  </si>
  <si>
    <t>김봉수</t>
    <phoneticPr fontId="1" type="noConversion"/>
  </si>
  <si>
    <t>류대수</t>
    <phoneticPr fontId="1" type="noConversion"/>
  </si>
  <si>
    <t>박승태</t>
    <phoneticPr fontId="1" type="noConversion"/>
  </si>
  <si>
    <t>박송이</t>
    <phoneticPr fontId="1" type="noConversion"/>
  </si>
  <si>
    <t>이상현</t>
    <phoneticPr fontId="1" type="noConversion"/>
  </si>
  <si>
    <t>하나윤</t>
    <phoneticPr fontId="1" type="noConversion"/>
  </si>
  <si>
    <t>민호성</t>
    <phoneticPr fontId="1" type="noConversion"/>
  </si>
  <si>
    <t>김윤하</t>
    <phoneticPr fontId="1" type="noConversion"/>
  </si>
  <si>
    <t>김재연</t>
    <phoneticPr fontId="1" type="noConversion"/>
  </si>
  <si>
    <t>박성진</t>
    <phoneticPr fontId="1" type="noConversion"/>
  </si>
  <si>
    <t>이도원</t>
    <phoneticPr fontId="1" type="noConversion"/>
  </si>
  <si>
    <t>면접</t>
    <phoneticPr fontId="1" type="noConversion"/>
  </si>
  <si>
    <t>신입사원 채용 평가 점수</t>
    <phoneticPr fontId="1" type="noConversion"/>
  </si>
  <si>
    <t>필기</t>
    <phoneticPr fontId="1" type="noConversion"/>
  </si>
  <si>
    <t>서류전형</t>
    <phoneticPr fontId="1" type="noConversion"/>
  </si>
  <si>
    <t>실무전형</t>
    <phoneticPr fontId="1" type="noConversion"/>
  </si>
  <si>
    <t>제품명</t>
  </si>
  <si>
    <t>판매수량</t>
  </si>
  <si>
    <t>판매금액</t>
  </si>
  <si>
    <t>제품코드</t>
    <phoneticPr fontId="1" type="noConversion"/>
  </si>
  <si>
    <t>구분</t>
    <phoneticPr fontId="1" type="noConversion"/>
  </si>
  <si>
    <t>제품명</t>
    <phoneticPr fontId="1" type="noConversion"/>
  </si>
  <si>
    <t>내용량</t>
    <phoneticPr fontId="1" type="noConversion"/>
  </si>
  <si>
    <t>가격</t>
    <phoneticPr fontId="1" type="noConversion"/>
  </si>
  <si>
    <t>판매수량</t>
    <phoneticPr fontId="1" type="noConversion"/>
  </si>
  <si>
    <t>기초영양</t>
    <phoneticPr fontId="1" type="noConversion"/>
  </si>
  <si>
    <t>데일리츄어블</t>
    <phoneticPr fontId="1" type="noConversion"/>
  </si>
  <si>
    <t>푸로틴</t>
    <phoneticPr fontId="1" type="noConversion"/>
  </si>
  <si>
    <t>아세로라 C</t>
    <phoneticPr fontId="1" type="noConversion"/>
  </si>
  <si>
    <t>100정</t>
    <phoneticPr fontId="1" type="noConversion"/>
  </si>
  <si>
    <t>밸런스 위드인</t>
    <phoneticPr fontId="1" type="noConversion"/>
  </si>
  <si>
    <t>30포</t>
    <phoneticPr fontId="1" type="noConversion"/>
  </si>
  <si>
    <t>120정</t>
    <phoneticPr fontId="1" type="noConversion"/>
  </si>
  <si>
    <t>1일 2회, 1회 2정</t>
    <phoneticPr fontId="1" type="noConversion"/>
  </si>
  <si>
    <t>1일 2회, 1회 300cc</t>
    <phoneticPr fontId="1" type="noConversion"/>
  </si>
  <si>
    <t>450g</t>
    <phoneticPr fontId="1" type="noConversion"/>
  </si>
  <si>
    <t>1일 3회, 1회 1정</t>
    <phoneticPr fontId="1" type="noConversion"/>
  </si>
  <si>
    <t>1일 1회, 1회 1포</t>
    <phoneticPr fontId="1" type="noConversion"/>
  </si>
  <si>
    <t>기능성</t>
    <phoneticPr fontId="1" type="noConversion"/>
  </si>
  <si>
    <t>오메가 3</t>
    <phoneticPr fontId="1" type="noConversion"/>
  </si>
  <si>
    <t>루바블렌드</t>
    <phoneticPr fontId="1" type="noConversion"/>
  </si>
  <si>
    <t>30정</t>
    <phoneticPr fontId="1" type="noConversion"/>
  </si>
  <si>
    <t>1일 1회, 1회 1정</t>
    <phoneticPr fontId="1" type="noConversion"/>
  </si>
  <si>
    <t>쏘팔메토 블렌드</t>
    <phoneticPr fontId="1" type="noConversion"/>
  </si>
  <si>
    <t>90캡슐</t>
    <phoneticPr fontId="1" type="noConversion"/>
  </si>
  <si>
    <t>1일 3회, 1회 1캡슐</t>
    <phoneticPr fontId="1" type="noConversion"/>
  </si>
  <si>
    <t>코큐텐</t>
    <phoneticPr fontId="1" type="noConversion"/>
  </si>
  <si>
    <t>90캡슐</t>
    <phoneticPr fontId="1" type="noConversion"/>
  </si>
  <si>
    <t>1일 3회, 1회 1캡슐</t>
    <phoneticPr fontId="1" type="noConversion"/>
  </si>
  <si>
    <t>90캡슐</t>
    <phoneticPr fontId="1" type="noConversion"/>
  </si>
  <si>
    <t>1일 2회, 1회 2캡슐</t>
    <phoneticPr fontId="1" type="noConversion"/>
  </si>
  <si>
    <t>A4298K</t>
    <phoneticPr fontId="1" type="noConversion"/>
  </si>
  <si>
    <t>299632K</t>
    <phoneticPr fontId="1" type="noConversion"/>
  </si>
  <si>
    <t>106093K</t>
    <phoneticPr fontId="1" type="noConversion"/>
  </si>
  <si>
    <t>105684K</t>
    <phoneticPr fontId="1" type="noConversion"/>
  </si>
  <si>
    <t>B2654C</t>
    <phoneticPr fontId="1" type="noConversion"/>
  </si>
  <si>
    <t>D85962C</t>
    <phoneticPr fontId="1" type="noConversion"/>
  </si>
  <si>
    <t>E1586C</t>
    <phoneticPr fontId="1" type="noConversion"/>
  </si>
  <si>
    <t>H2586C</t>
    <phoneticPr fontId="1" type="noConversion"/>
  </si>
  <si>
    <t>이스티 비</t>
    <phoneticPr fontId="1" type="noConversion"/>
  </si>
  <si>
    <t>85정</t>
    <phoneticPr fontId="1" type="noConversion"/>
  </si>
  <si>
    <t>A4450K</t>
    <phoneticPr fontId="1" type="noConversion"/>
  </si>
  <si>
    <t>1일 3회, 1회 1정</t>
    <phoneticPr fontId="1" type="noConversion"/>
  </si>
  <si>
    <t>F옥타코사놀</t>
    <phoneticPr fontId="1" type="noConversion"/>
  </si>
  <si>
    <t>60캡슐</t>
    <phoneticPr fontId="1" type="noConversion"/>
  </si>
  <si>
    <t>1일 2회, 1회 1캡슐</t>
    <phoneticPr fontId="1" type="noConversion"/>
  </si>
  <si>
    <t>101800K</t>
    <phoneticPr fontId="1" type="noConversion"/>
  </si>
  <si>
    <t>건강보조식품 판매 현황</t>
    <phoneticPr fontId="1" type="noConversion"/>
  </si>
  <si>
    <t>과목별 성적 처리</t>
    <phoneticPr fontId="1" type="noConversion"/>
  </si>
  <si>
    <t>[표1] 4월 판매내역</t>
    <phoneticPr fontId="1" type="noConversion"/>
  </si>
  <si>
    <t>[표2] 5월 판매내역</t>
    <phoneticPr fontId="1" type="noConversion"/>
  </si>
  <si>
    <t>브랜드명</t>
    <phoneticPr fontId="1" type="noConversion"/>
  </si>
  <si>
    <t>나이키</t>
    <phoneticPr fontId="1" type="noConversion"/>
  </si>
  <si>
    <t>테니스화</t>
    <phoneticPr fontId="1" type="noConversion"/>
  </si>
  <si>
    <t>아식스</t>
    <phoneticPr fontId="1" type="noConversion"/>
  </si>
  <si>
    <t>윌슨</t>
    <phoneticPr fontId="1" type="noConversion"/>
  </si>
  <si>
    <t>테니스라켓</t>
    <phoneticPr fontId="1" type="noConversion"/>
  </si>
  <si>
    <t>헤드</t>
    <phoneticPr fontId="1" type="noConversion"/>
  </si>
  <si>
    <t>테니스공(36캔)</t>
    <phoneticPr fontId="1" type="noConversion"/>
  </si>
  <si>
    <t>스타</t>
    <phoneticPr fontId="1" type="noConversion"/>
  </si>
  <si>
    <t>테니스공(12캔)</t>
    <phoneticPr fontId="1" type="noConversion"/>
  </si>
  <si>
    <t>휠라</t>
    <phoneticPr fontId="1" type="noConversion"/>
  </si>
  <si>
    <t>테니스 가방</t>
    <phoneticPr fontId="1" type="noConversion"/>
  </si>
  <si>
    <t>그립</t>
    <phoneticPr fontId="1" type="noConversion"/>
  </si>
  <si>
    <t>[표3] 6월 판매내역</t>
    <phoneticPr fontId="1" type="noConversion"/>
  </si>
  <si>
    <t>아디다스</t>
    <phoneticPr fontId="1" type="noConversion"/>
  </si>
  <si>
    <t>프린스</t>
    <phoneticPr fontId="1" type="noConversion"/>
  </si>
  <si>
    <t>테니스 스커트</t>
    <phoneticPr fontId="1" type="noConversion"/>
  </si>
  <si>
    <t>카페 10월 판매수익</t>
    <phoneticPr fontId="1" type="noConversion"/>
  </si>
  <si>
    <t>판매단가와 판매수량 변동에 따른 판매수익 계산</t>
    <phoneticPr fontId="1" type="noConversion"/>
  </si>
  <si>
    <t>판매단가</t>
    <phoneticPr fontId="1" type="noConversion"/>
  </si>
  <si>
    <t>판매단가</t>
    <phoneticPr fontId="1" type="noConversion"/>
  </si>
  <si>
    <t>판매원가</t>
    <phoneticPr fontId="1" type="noConversion"/>
  </si>
  <si>
    <t>세금</t>
    <phoneticPr fontId="4" type="noConversion"/>
  </si>
  <si>
    <t>인건비</t>
    <phoneticPr fontId="1" type="noConversion"/>
  </si>
  <si>
    <t>임대료</t>
    <phoneticPr fontId="1" type="noConversion"/>
  </si>
  <si>
    <t>가전제품 판매현황</t>
    <phoneticPr fontId="1" type="noConversion"/>
  </si>
  <si>
    <t>[표1]</t>
    <phoneticPr fontId="1" type="noConversion"/>
  </si>
  <si>
    <t>연말 인센티브 현황</t>
    <phoneticPr fontId="1" type="noConversion"/>
  </si>
  <si>
    <t>[표2]</t>
    <phoneticPr fontId="1" type="noConversion"/>
  </si>
  <si>
    <t>지원서 접수현황</t>
    <phoneticPr fontId="1" type="noConversion"/>
  </si>
  <si>
    <t>성명</t>
    <phoneticPr fontId="1" type="noConversion"/>
  </si>
  <si>
    <t>성별</t>
    <phoneticPr fontId="1" type="noConversion"/>
  </si>
  <si>
    <t>직책</t>
    <phoneticPr fontId="1" type="noConversion"/>
  </si>
  <si>
    <t>성과등급</t>
    <phoneticPr fontId="1" type="noConversion"/>
  </si>
  <si>
    <t>인센티브</t>
    <phoneticPr fontId="1" type="noConversion"/>
  </si>
  <si>
    <t>접수일자</t>
    <phoneticPr fontId="1" type="noConversion"/>
  </si>
  <si>
    <t>지역</t>
    <phoneticPr fontId="1" type="noConversion"/>
  </si>
  <si>
    <t>졸업학교</t>
    <phoneticPr fontId="1" type="noConversion"/>
  </si>
  <si>
    <t>수험생명</t>
    <phoneticPr fontId="1" type="noConversion"/>
  </si>
  <si>
    <t>비고</t>
    <phoneticPr fontId="1" type="noConversion"/>
  </si>
  <si>
    <t>최은영</t>
    <phoneticPr fontId="9" type="noConversion"/>
  </si>
  <si>
    <t>여</t>
    <phoneticPr fontId="1" type="noConversion"/>
  </si>
  <si>
    <t>점장</t>
    <phoneticPr fontId="1" type="noConversion"/>
  </si>
  <si>
    <t>S</t>
    <phoneticPr fontId="1" type="noConversion"/>
  </si>
  <si>
    <t>제주</t>
    <phoneticPr fontId="1" type="noConversion"/>
  </si>
  <si>
    <t>미성고</t>
    <phoneticPr fontId="1" type="noConversion"/>
  </si>
  <si>
    <t>임지훈</t>
    <phoneticPr fontId="9" type="noConversion"/>
  </si>
  <si>
    <t>김성철</t>
    <phoneticPr fontId="9" type="noConversion"/>
  </si>
  <si>
    <t>남</t>
    <phoneticPr fontId="1" type="noConversion"/>
  </si>
  <si>
    <t>매니저</t>
    <phoneticPr fontId="1" type="noConversion"/>
  </si>
  <si>
    <t>A</t>
    <phoneticPr fontId="1" type="noConversion"/>
  </si>
  <si>
    <t>서울</t>
    <phoneticPr fontId="1" type="noConversion"/>
  </si>
  <si>
    <t>제일여고</t>
    <phoneticPr fontId="1" type="noConversion"/>
  </si>
  <si>
    <t>원영만</t>
    <phoneticPr fontId="9" type="noConversion"/>
  </si>
  <si>
    <t>김진혁</t>
    <phoneticPr fontId="9" type="noConversion"/>
  </si>
  <si>
    <t>남</t>
    <phoneticPr fontId="1" type="noConversion"/>
  </si>
  <si>
    <t>매니저</t>
    <phoneticPr fontId="1" type="noConversion"/>
  </si>
  <si>
    <t>창원</t>
    <phoneticPr fontId="1" type="noConversion"/>
  </si>
  <si>
    <t>상록고</t>
    <phoneticPr fontId="1" type="noConversion"/>
  </si>
  <si>
    <t>도지원</t>
    <phoneticPr fontId="9" type="noConversion"/>
  </si>
  <si>
    <t>이진아</t>
    <phoneticPr fontId="9" type="noConversion"/>
  </si>
  <si>
    <t>울산</t>
    <phoneticPr fontId="1" type="noConversion"/>
  </si>
  <si>
    <t>한성고</t>
    <phoneticPr fontId="1" type="noConversion"/>
  </si>
  <si>
    <t>감주영</t>
    <phoneticPr fontId="9" type="noConversion"/>
  </si>
  <si>
    <t>진성우</t>
    <phoneticPr fontId="9" type="noConversion"/>
  </si>
  <si>
    <t>B</t>
    <phoneticPr fontId="1" type="noConversion"/>
  </si>
  <si>
    <t>대구</t>
    <phoneticPr fontId="1" type="noConversion"/>
  </si>
  <si>
    <t>장홍고</t>
    <phoneticPr fontId="1" type="noConversion"/>
  </si>
  <si>
    <t>남정민</t>
    <phoneticPr fontId="9" type="noConversion"/>
  </si>
  <si>
    <t>이민우</t>
    <phoneticPr fontId="9" type="noConversion"/>
  </si>
  <si>
    <t>인천</t>
    <phoneticPr fontId="1" type="noConversion"/>
  </si>
  <si>
    <t>다산고</t>
    <phoneticPr fontId="1" type="noConversion"/>
  </si>
  <si>
    <t>임철수</t>
    <phoneticPr fontId="9" type="noConversion"/>
  </si>
  <si>
    <t>김철민</t>
    <phoneticPr fontId="9" type="noConversion"/>
  </si>
  <si>
    <t>B</t>
    <phoneticPr fontId="1" type="noConversion"/>
  </si>
  <si>
    <t>광주</t>
    <phoneticPr fontId="1" type="noConversion"/>
  </si>
  <si>
    <t>여산고</t>
    <phoneticPr fontId="1" type="noConversion"/>
  </si>
  <si>
    <t>오성환</t>
    <phoneticPr fontId="9" type="noConversion"/>
  </si>
  <si>
    <t>박사랑</t>
    <phoneticPr fontId="9" type="noConversion"/>
  </si>
  <si>
    <t>서울</t>
    <phoneticPr fontId="1" type="noConversion"/>
  </si>
  <si>
    <t>창덕고</t>
    <phoneticPr fontId="1" type="noConversion"/>
  </si>
  <si>
    <t>정철환</t>
    <phoneticPr fontId="9" type="noConversion"/>
  </si>
  <si>
    <t>김봉수</t>
    <phoneticPr fontId="9" type="noConversion"/>
  </si>
  <si>
    <t>최서은</t>
    <phoneticPr fontId="9" type="noConversion"/>
  </si>
  <si>
    <t>여</t>
    <phoneticPr fontId="1" type="noConversion"/>
  </si>
  <si>
    <t>직책이 매니저인 여직원 인센티브 평균</t>
    <phoneticPr fontId="1" type="noConversion"/>
  </si>
  <si>
    <t xml:space="preserve">[표3] </t>
    <phoneticPr fontId="1" type="noConversion"/>
  </si>
  <si>
    <t>면접시험 응시현황</t>
    <phoneticPr fontId="1" type="noConversion"/>
  </si>
  <si>
    <t>[표4]</t>
    <phoneticPr fontId="1" type="noConversion"/>
  </si>
  <si>
    <t>시즌전적</t>
    <phoneticPr fontId="1" type="noConversion"/>
  </si>
  <si>
    <t>지원번호</t>
    <phoneticPr fontId="1" type="noConversion"/>
  </si>
  <si>
    <t>성별</t>
  </si>
  <si>
    <t>응시여부</t>
    <phoneticPr fontId="1" type="noConversion"/>
  </si>
  <si>
    <t>면접결과</t>
    <phoneticPr fontId="1" type="noConversion"/>
  </si>
  <si>
    <t>결시율</t>
  </si>
  <si>
    <t>승리</t>
    <phoneticPr fontId="1" type="noConversion"/>
  </si>
  <si>
    <t>패배</t>
    <phoneticPr fontId="1" type="noConversion"/>
  </si>
  <si>
    <t>게이머명</t>
    <phoneticPr fontId="1" type="noConversion"/>
  </si>
  <si>
    <t>A21-101</t>
    <phoneticPr fontId="1" type="noConversion"/>
  </si>
  <si>
    <t>O</t>
  </si>
  <si>
    <t>마블맨</t>
    <phoneticPr fontId="1" type="noConversion"/>
  </si>
  <si>
    <t>A21-102</t>
  </si>
  <si>
    <t>퍼스트</t>
    <phoneticPr fontId="1" type="noConversion"/>
  </si>
  <si>
    <t>A21-103</t>
  </si>
  <si>
    <t>파워맨</t>
    <phoneticPr fontId="1" type="noConversion"/>
  </si>
  <si>
    <t>A21-104</t>
  </si>
  <si>
    <t>울트라</t>
    <phoneticPr fontId="1" type="noConversion"/>
  </si>
  <si>
    <t>A21-105</t>
  </si>
  <si>
    <t>핵펀치</t>
    <phoneticPr fontId="1" type="noConversion"/>
  </si>
  <si>
    <t>A21-106</t>
  </si>
  <si>
    <t>사냥꾼</t>
    <phoneticPr fontId="1" type="noConversion"/>
  </si>
  <si>
    <t>A21-107</t>
  </si>
  <si>
    <t>마법사</t>
    <phoneticPr fontId="1" type="noConversion"/>
  </si>
  <si>
    <t>승률이 가장 높은 게이머명</t>
    <phoneticPr fontId="1" type="noConversion"/>
  </si>
  <si>
    <t>A21-108</t>
  </si>
  <si>
    <t>스나이퍼</t>
    <phoneticPr fontId="1" type="noConversion"/>
  </si>
  <si>
    <t>A21-109</t>
  </si>
  <si>
    <t>A21-110</t>
  </si>
  <si>
    <t>[표5]</t>
    <phoneticPr fontId="1" type="noConversion"/>
  </si>
  <si>
    <t>성명</t>
    <phoneticPr fontId="1" type="noConversion"/>
  </si>
  <si>
    <t>주민등록번호</t>
    <phoneticPr fontId="1" type="noConversion"/>
  </si>
  <si>
    <t>성별</t>
    <phoneticPr fontId="1" type="noConversion"/>
  </si>
  <si>
    <t>생년월일</t>
    <phoneticPr fontId="1" type="noConversion"/>
  </si>
  <si>
    <t>최은영</t>
    <phoneticPr fontId="9" type="noConversion"/>
  </si>
  <si>
    <t>880808-2******</t>
    <phoneticPr fontId="1" type="noConversion"/>
  </si>
  <si>
    <t>920214-1******</t>
    <phoneticPr fontId="1" type="noConversion"/>
  </si>
  <si>
    <t>김진혁</t>
    <phoneticPr fontId="9" type="noConversion"/>
  </si>
  <si>
    <t>900513-1******</t>
    <phoneticPr fontId="1" type="noConversion"/>
  </si>
  <si>
    <t>이진아</t>
    <phoneticPr fontId="9" type="noConversion"/>
  </si>
  <si>
    <t>980624-2******</t>
    <phoneticPr fontId="1" type="noConversion"/>
  </si>
  <si>
    <t>880507-2******</t>
  </si>
  <si>
    <t>이민우</t>
    <phoneticPr fontId="9" type="noConversion"/>
  </si>
  <si>
    <t>780923-1******</t>
    <phoneticPr fontId="1" type="noConversion"/>
  </si>
  <si>
    <t>김철민</t>
    <phoneticPr fontId="9" type="noConversion"/>
  </si>
  <si>
    <t>010819-3******</t>
    <phoneticPr fontId="1" type="noConversion"/>
  </si>
  <si>
    <t>박사랑</t>
    <phoneticPr fontId="9" type="noConversion"/>
  </si>
  <si>
    <t>020901-4******</t>
    <phoneticPr fontId="1" type="noConversion"/>
  </si>
  <si>
    <t>김봉수</t>
    <phoneticPr fontId="9" type="noConversion"/>
  </si>
  <si>
    <t>850505-1******</t>
    <phoneticPr fontId="1" type="noConversion"/>
  </si>
  <si>
    <t>최서은</t>
    <phoneticPr fontId="9" type="noConversion"/>
  </si>
  <si>
    <t>990909-2******</t>
    <phoneticPr fontId="1" type="noConversion"/>
  </si>
  <si>
    <t>1일 총 섭취량</t>
    <phoneticPr fontId="1" type="noConversion"/>
  </si>
  <si>
    <t>[표4] 2분기 판매내역</t>
    <phoneticPr fontId="1" type="noConversion"/>
  </si>
  <si>
    <t>=OR($A4="E*",$H4&gt;=LARGE($H$4:$H$20,5))</t>
    <phoneticPr fontId="1" type="noConversion"/>
  </si>
  <si>
    <t>테니스화</t>
  </si>
  <si>
    <t>테니스라켓</t>
  </si>
  <si>
    <t>테니스공(36캔)</t>
  </si>
  <si>
    <t>테니스 스커트</t>
  </si>
  <si>
    <t>테니스 가방</t>
  </si>
  <si>
    <t>테니스공(12캔)</t>
  </si>
  <si>
    <t>그립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</si>
</sst>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41" formatCode="_-* #,##0_-;\-* #,##0_-;_-* &quot;-&quot;_-;_-@_-"/>
    <numFmt numFmtId="176" formatCode="#,##0&quot;원&quot;"/>
  </numFmts>
  <fonts count="18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b/>
      <sz val="11"/>
      <color theme="1"/>
      <name val="맑은 고딕"/>
      <family val="3"/>
      <charset val="129"/>
      <scheme val="minor"/>
    </font>
    <font>
      <sz val="8"/>
      <name val="맑은 고딕"/>
      <family val="3"/>
      <charset val="129"/>
      <scheme val="minor"/>
    </font>
    <font>
      <b/>
      <sz val="14"/>
      <color theme="1"/>
      <name val="맑은 고딕"/>
      <family val="3"/>
      <charset val="129"/>
      <scheme val="minor"/>
    </font>
    <font>
      <sz val="11"/>
      <name val="맑은 고딕"/>
      <family val="3"/>
      <charset val="129"/>
      <scheme val="major"/>
    </font>
    <font>
      <sz val="11"/>
      <color theme="1"/>
      <name val="맑은 고딕"/>
      <family val="2"/>
      <scheme val="minor"/>
    </font>
    <font>
      <sz val="11"/>
      <color theme="1"/>
      <name val="맑은 고딕"/>
      <family val="3"/>
      <charset val="129"/>
      <scheme val="minor"/>
    </font>
    <font>
      <sz val="8"/>
      <name val="돋움"/>
      <family val="3"/>
      <charset val="129"/>
    </font>
    <font>
      <sz val="11"/>
      <color theme="1"/>
      <name val="맑은 고딕"/>
      <family val="2"/>
      <charset val="129"/>
    </font>
    <font>
      <sz val="11"/>
      <name val="맑은 고딕"/>
      <family val="3"/>
      <charset val="129"/>
      <scheme val="minor"/>
    </font>
    <font>
      <b/>
      <sz val="11"/>
      <color rgb="FF3F3F3F"/>
      <name val="맑은 고딕"/>
      <family val="2"/>
      <charset val="129"/>
      <scheme val="minor"/>
    </font>
    <font>
      <sz val="11"/>
      <color theme="0"/>
      <name val="맑은 고딕"/>
      <family val="2"/>
      <charset val="129"/>
      <scheme val="minor"/>
    </font>
    <font>
      <b/>
      <u val="double"/>
      <sz val="18"/>
      <color theme="1"/>
      <name val="돋움"/>
      <family val="3"/>
      <charset val="129"/>
    </font>
    <font>
      <sz val="9"/>
      <color indexed="81"/>
      <name val="Tahoma"/>
      <family val="2"/>
    </font>
    <font>
      <sz val="9"/>
      <color indexed="81"/>
      <name val="돋움"/>
      <family val="3"/>
      <charset val="129"/>
    </font>
    <font>
      <b/>
      <sz val="11"/>
      <color rgb="FF7030A0"/>
      <name val="맑은 고딕"/>
      <family val="3"/>
      <charset val="129"/>
      <scheme val="minor"/>
    </font>
  </fonts>
  <fills count="7">
    <fill>
      <patternFill patternType="none"/>
    </fill>
    <fill>
      <patternFill patternType="gray125"/>
    </fill>
    <fill>
      <patternFill patternType="solid">
        <fgColor theme="0" tint="-0.249977111117893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2F2F2"/>
      </patternFill>
    </fill>
    <fill>
      <patternFill patternType="solid">
        <fgColor theme="9"/>
      </patternFill>
    </fill>
    <fill>
      <patternFill patternType="solid">
        <fgColor rgb="FFFFFF00"/>
        <bgColor indexed="64"/>
      </patternFill>
    </fill>
  </fills>
  <borders count="1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10">
    <xf numFmtId="0" fontId="0" fillId="0" borderId="0">
      <alignment vertical="center"/>
    </xf>
    <xf numFmtId="41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41" fontId="2" fillId="0" borderId="0" applyFont="0" applyFill="0" applyBorder="0" applyAlignment="0" applyProtection="0">
      <alignment vertical="center"/>
    </xf>
    <xf numFmtId="0" fontId="7" fillId="0" borderId="0"/>
    <xf numFmtId="0" fontId="2" fillId="0" borderId="0">
      <alignment vertical="center"/>
    </xf>
    <xf numFmtId="41" fontId="2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2" fillId="4" borderId="7" applyNumberFormat="0" applyAlignment="0" applyProtection="0">
      <alignment vertical="center"/>
    </xf>
    <xf numFmtId="0" fontId="13" fillId="5" borderId="0" applyNumberFormat="0" applyBorder="0" applyAlignment="0" applyProtection="0">
      <alignment vertical="center"/>
    </xf>
  </cellStyleXfs>
  <cellXfs count="58">
    <xf numFmtId="0" fontId="0" fillId="0" borderId="0" xfId="0">
      <alignment vertical="center"/>
    </xf>
    <xf numFmtId="0" fontId="0" fillId="0" borderId="1" xfId="0" applyBorder="1" applyAlignment="1">
      <alignment horizontal="center" vertical="center"/>
    </xf>
    <xf numFmtId="41" fontId="0" fillId="0" borderId="1" xfId="1" applyFont="1" applyBorder="1">
      <alignment vertical="center"/>
    </xf>
    <xf numFmtId="0" fontId="0" fillId="0" borderId="1" xfId="0" applyBorder="1">
      <alignment vertical="center"/>
    </xf>
    <xf numFmtId="0" fontId="0" fillId="0" borderId="0" xfId="0" applyAlignment="1">
      <alignment horizontal="left" vertical="center"/>
    </xf>
    <xf numFmtId="0" fontId="3" fillId="0" borderId="0" xfId="0" applyFont="1">
      <alignment vertical="center"/>
    </xf>
    <xf numFmtId="0" fontId="0" fillId="0" borderId="0" xfId="0" applyAlignment="1"/>
    <xf numFmtId="0" fontId="6" fillId="0" borderId="0" xfId="0" applyFont="1">
      <alignment vertical="center"/>
    </xf>
    <xf numFmtId="0" fontId="6" fillId="0" borderId="1" xfId="0" applyFont="1" applyBorder="1" applyAlignment="1">
      <alignment horizontal="center" vertical="center"/>
    </xf>
    <xf numFmtId="0" fontId="6" fillId="0" borderId="1" xfId="0" applyFont="1" applyBorder="1">
      <alignment vertical="center"/>
    </xf>
    <xf numFmtId="41" fontId="6" fillId="0" borderId="0" xfId="3" applyFont="1" applyAlignment="1">
      <alignment vertical="center"/>
    </xf>
    <xf numFmtId="41" fontId="6" fillId="0" borderId="1" xfId="3" applyFont="1" applyBorder="1" applyAlignment="1">
      <alignment horizontal="center" vertical="center"/>
    </xf>
    <xf numFmtId="41" fontId="6" fillId="0" borderId="1" xfId="3" applyFont="1" applyBorder="1" applyAlignment="1">
      <alignment vertical="center"/>
    </xf>
    <xf numFmtId="0" fontId="8" fillId="0" borderId="0" xfId="4" applyFont="1" applyAlignment="1">
      <alignment vertical="center"/>
    </xf>
    <xf numFmtId="0" fontId="3" fillId="0" borderId="0" xfId="4" applyFont="1" applyAlignment="1">
      <alignment vertical="center"/>
    </xf>
    <xf numFmtId="0" fontId="8" fillId="0" borderId="0" xfId="0" applyFont="1">
      <alignment vertical="center"/>
    </xf>
    <xf numFmtId="0" fontId="8" fillId="0" borderId="0" xfId="5" applyFont="1">
      <alignment vertical="center"/>
    </xf>
    <xf numFmtId="0" fontId="3" fillId="0" borderId="0" xfId="5" applyFont="1">
      <alignment vertical="center"/>
    </xf>
    <xf numFmtId="0" fontId="8" fillId="0" borderId="1" xfId="4" applyFont="1" applyBorder="1" applyAlignment="1">
      <alignment horizontal="center" vertical="center"/>
    </xf>
    <xf numFmtId="0" fontId="8" fillId="0" borderId="1" xfId="5" applyFont="1" applyBorder="1" applyAlignment="1">
      <alignment horizontal="center" vertical="center"/>
    </xf>
    <xf numFmtId="0" fontId="8" fillId="2" borderId="1" xfId="5" applyFont="1" applyFill="1" applyBorder="1" applyAlignment="1">
      <alignment horizontal="center" vertical="center"/>
    </xf>
    <xf numFmtId="0" fontId="8" fillId="0" borderId="1" xfId="0" applyFont="1" applyBorder="1" applyAlignment="1">
      <alignment horizontal="center"/>
    </xf>
    <xf numFmtId="0" fontId="8" fillId="0" borderId="1" xfId="6" applyNumberFormat="1" applyFont="1" applyBorder="1" applyAlignment="1">
      <alignment horizontal="center" vertical="center"/>
    </xf>
    <xf numFmtId="41" fontId="8" fillId="0" borderId="1" xfId="6" applyFont="1" applyBorder="1" applyAlignment="1">
      <alignment horizontal="center" vertical="center"/>
    </xf>
    <xf numFmtId="14" fontId="11" fillId="0" borderId="1" xfId="7" applyNumberFormat="1" applyFont="1" applyBorder="1" applyAlignment="1">
      <alignment horizontal="center" vertical="center" shrinkToFit="1"/>
    </xf>
    <xf numFmtId="0" fontId="8" fillId="0" borderId="1" xfId="6" applyNumberFormat="1" applyFont="1" applyFill="1" applyBorder="1" applyAlignment="1">
      <alignment horizontal="center" vertical="center"/>
    </xf>
    <xf numFmtId="41" fontId="8" fillId="0" borderId="1" xfId="6" applyFont="1" applyFill="1" applyBorder="1" applyAlignment="1">
      <alignment horizontal="center" vertical="center"/>
    </xf>
    <xf numFmtId="0" fontId="8" fillId="0" borderId="1" xfId="0" applyFont="1" applyBorder="1" applyAlignment="1">
      <alignment horizontal="center" vertical="center"/>
    </xf>
    <xf numFmtId="0" fontId="8" fillId="3" borderId="1" xfId="0" applyFont="1" applyFill="1" applyBorder="1" applyAlignment="1">
      <alignment horizontal="center" vertical="center"/>
    </xf>
    <xf numFmtId="0" fontId="8" fillId="0" borderId="6" xfId="0" applyFont="1" applyBorder="1" applyAlignment="1">
      <alignment horizontal="center" vertical="center"/>
    </xf>
    <xf numFmtId="0" fontId="8" fillId="0" borderId="0" xfId="0" applyFont="1" applyAlignment="1">
      <alignment horizontal="center" vertical="center"/>
    </xf>
    <xf numFmtId="0" fontId="8" fillId="0" borderId="0" xfId="0" applyFont="1" applyAlignment="1">
      <alignment horizontal="left" vertical="center"/>
    </xf>
    <xf numFmtId="0" fontId="8" fillId="3" borderId="4" xfId="4" applyFont="1" applyFill="1" applyBorder="1" applyAlignment="1">
      <alignment horizontal="center" vertical="center"/>
    </xf>
    <xf numFmtId="0" fontId="8" fillId="3" borderId="5" xfId="4" applyFont="1" applyFill="1" applyBorder="1" applyAlignment="1">
      <alignment horizontal="center" vertical="center"/>
    </xf>
    <xf numFmtId="0" fontId="8" fillId="3" borderId="6" xfId="4" applyFont="1" applyFill="1" applyBorder="1" applyAlignment="1">
      <alignment horizontal="center" vertical="center"/>
    </xf>
    <xf numFmtId="0" fontId="8" fillId="3" borderId="1" xfId="0" applyFont="1" applyFill="1" applyBorder="1" applyAlignment="1">
      <alignment horizontal="center" vertical="center"/>
    </xf>
    <xf numFmtId="0" fontId="8" fillId="0" borderId="1" xfId="0" applyFont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 textRotation="255"/>
    </xf>
    <xf numFmtId="0" fontId="5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14" fillId="0" borderId="0" xfId="0" applyFont="1" applyAlignment="1">
      <alignment horizontal="center" vertical="center"/>
    </xf>
    <xf numFmtId="0" fontId="0" fillId="0" borderId="1" xfId="0" applyBorder="1" applyAlignment="1">
      <alignment horizontal="center" vertical="center"/>
    </xf>
    <xf numFmtId="176" fontId="0" fillId="0" borderId="1" xfId="0" applyNumberFormat="1" applyBorder="1">
      <alignment vertical="center"/>
    </xf>
    <xf numFmtId="0" fontId="13" fillId="5" borderId="8" xfId="9" applyBorder="1">
      <alignment vertical="center"/>
    </xf>
    <xf numFmtId="0" fontId="13" fillId="5" borderId="9" xfId="9" applyBorder="1">
      <alignment vertical="center"/>
    </xf>
    <xf numFmtId="0" fontId="13" fillId="5" borderId="10" xfId="9" applyBorder="1">
      <alignment vertical="center"/>
    </xf>
    <xf numFmtId="0" fontId="0" fillId="0" borderId="11" xfId="0" applyBorder="1">
      <alignment vertical="center"/>
    </xf>
    <xf numFmtId="0" fontId="0" fillId="0" borderId="12" xfId="0" applyBorder="1">
      <alignment vertical="center"/>
    </xf>
    <xf numFmtId="0" fontId="0" fillId="0" borderId="13" xfId="0" applyBorder="1">
      <alignment vertical="center"/>
    </xf>
    <xf numFmtId="0" fontId="0" fillId="0" borderId="14" xfId="0" applyBorder="1" applyAlignment="1">
      <alignment horizontal="center" vertical="center"/>
    </xf>
    <xf numFmtId="0" fontId="0" fillId="0" borderId="14" xfId="0" applyBorder="1">
      <alignment vertical="center"/>
    </xf>
    <xf numFmtId="176" fontId="0" fillId="0" borderId="14" xfId="0" applyNumberFormat="1" applyBorder="1">
      <alignment vertical="center"/>
    </xf>
    <xf numFmtId="0" fontId="0" fillId="0" borderId="15" xfId="0" applyBorder="1">
      <alignment vertical="center"/>
    </xf>
    <xf numFmtId="0" fontId="0" fillId="0" borderId="0" xfId="0" quotePrefix="1" applyAlignment="1">
      <alignment horizontal="center" vertical="center"/>
    </xf>
    <xf numFmtId="41" fontId="6" fillId="0" borderId="1" xfId="3" applyNumberFormat="1" applyFont="1" applyBorder="1" applyAlignment="1">
      <alignment vertical="center"/>
    </xf>
    <xf numFmtId="0" fontId="17" fillId="6" borderId="7" xfId="8" applyFont="1" applyFill="1">
      <alignment vertical="center"/>
    </xf>
  </cellXfs>
  <cellStyles count="10">
    <cellStyle name="강조색6" xfId="9" builtinId="49"/>
    <cellStyle name="쉼표 [0]" xfId="1" builtinId="6"/>
    <cellStyle name="쉼표 [0] 2" xfId="3" xr:uid="{00000000-0005-0000-0000-000001000000}"/>
    <cellStyle name="쉼표 [0] 2 2" xfId="6" xr:uid="{00000000-0005-0000-0000-000002000000}"/>
    <cellStyle name="출력" xfId="8" builtinId="21"/>
    <cellStyle name="표준" xfId="0" builtinId="0"/>
    <cellStyle name="표준 2" xfId="2" xr:uid="{00000000-0005-0000-0000-000004000000}"/>
    <cellStyle name="표준 2 3" xfId="7" xr:uid="{00000000-0005-0000-0000-000005000000}"/>
    <cellStyle name="표준 3" xfId="4" xr:uid="{00000000-0005-0000-0000-000006000000}"/>
    <cellStyle name="표준 3 2" xfId="5" xr:uid="{00000000-0005-0000-0000-000007000000}"/>
  </cellStyles>
  <dxfs count="4">
    <dxf>
      <font>
        <b/>
        <i val="0"/>
        <color rgb="FF00B050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차트작업!$A$1</c:f>
          <c:strCache>
            <c:ptCount val="1"/>
            <c:pt idx="0">
              <c:v>가전제품 판매현황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차트작업!$B$3</c:f>
              <c:strCache>
                <c:ptCount val="1"/>
                <c:pt idx="0">
                  <c:v>판매금액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차트작업!$A$4:$A$8</c:f>
              <c:strCache>
                <c:ptCount val="5"/>
                <c:pt idx="0">
                  <c:v>세탁기</c:v>
                </c:pt>
                <c:pt idx="1">
                  <c:v>공기청정기</c:v>
                </c:pt>
                <c:pt idx="2">
                  <c:v>건조기</c:v>
                </c:pt>
                <c:pt idx="3">
                  <c:v>냉장고</c:v>
                </c:pt>
                <c:pt idx="4">
                  <c:v>에어컨</c:v>
                </c:pt>
              </c:strCache>
            </c:strRef>
          </c:cat>
          <c:val>
            <c:numRef>
              <c:f>차트작업!$B$4:$B$8</c:f>
              <c:numCache>
                <c:formatCode>_(* #,##0_);_(* \(#,##0\);_(* "-"_);_(@_)</c:formatCode>
                <c:ptCount val="5"/>
                <c:pt idx="0">
                  <c:v>2350000</c:v>
                </c:pt>
                <c:pt idx="1">
                  <c:v>1300000</c:v>
                </c:pt>
                <c:pt idx="2">
                  <c:v>1800000</c:v>
                </c:pt>
                <c:pt idx="3">
                  <c:v>3540000</c:v>
                </c:pt>
                <c:pt idx="4">
                  <c:v>2500000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DC3-4B5F-BA29-835676227443}"/>
            </c:ext>
          </c:extLst>
        </c:ser>
        <c:ser>
          <c:idx val="1"/>
          <c:order val="1"/>
          <c:tx>
            <c:strRef>
              <c:f>차트작업!$C$3</c:f>
              <c:strCache>
                <c:ptCount val="1"/>
                <c:pt idx="0">
                  <c:v>할인금액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dLbls>
            <c:dLbl>
              <c:idx val="1"/>
              <c:dLblPos val="b"/>
              <c:showLegendKey val="0"/>
              <c:showVal val="1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AEF7-4C21-AEB7-6355C70E477B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차트작업!$A$4:$A$8</c:f>
              <c:strCache>
                <c:ptCount val="5"/>
                <c:pt idx="0">
                  <c:v>세탁기</c:v>
                </c:pt>
                <c:pt idx="1">
                  <c:v>공기청정기</c:v>
                </c:pt>
                <c:pt idx="2">
                  <c:v>건조기</c:v>
                </c:pt>
                <c:pt idx="3">
                  <c:v>냉장고</c:v>
                </c:pt>
                <c:pt idx="4">
                  <c:v>에어컨</c:v>
                </c:pt>
              </c:strCache>
            </c:strRef>
          </c:cat>
          <c:val>
            <c:numRef>
              <c:f>차트작업!$C$4:$C$8</c:f>
              <c:numCache>
                <c:formatCode>_(* #,##0_);_(* \(#,##0\);_(* "-"_);_(@_)</c:formatCode>
                <c:ptCount val="5"/>
                <c:pt idx="0">
                  <c:v>1997500</c:v>
                </c:pt>
                <c:pt idx="1">
                  <c:v>1031300</c:v>
                </c:pt>
                <c:pt idx="2">
                  <c:v>1475600</c:v>
                </c:pt>
                <c:pt idx="3">
                  <c:v>3009000</c:v>
                </c:pt>
                <c:pt idx="4">
                  <c:v>2181900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9DC3-4B5F-BA29-83567622744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855989232"/>
        <c:axId val="855993808"/>
      </c:lineChart>
      <c:catAx>
        <c:axId val="85598923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855993808"/>
        <c:crosses val="autoZero"/>
        <c:auto val="1"/>
        <c:lblAlgn val="ctr"/>
        <c:lblOffset val="100"/>
        <c:noMultiLvlLbl val="0"/>
      </c:catAx>
      <c:valAx>
        <c:axId val="8559938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wordArtVertRtl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ko-KR" altLang="en-US"/>
                  <a:t>금액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wordArtVertRtl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</c:title>
        <c:numFmt formatCode="_(* #,##0_);_(* \(#,##0\);_(* &quot;-&quot;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85598923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>
      <a:glow rad="63500">
        <a:schemeClr val="accent1">
          <a:satMod val="175000"/>
          <a:alpha val="40000"/>
        </a:schemeClr>
      </a:glow>
    </a:effectLst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</xdr:row>
          <xdr:rowOff>7620</xdr:rowOff>
        </xdr:from>
        <xdr:to>
          <xdr:col>10</xdr:col>
          <xdr:colOff>0</xdr:colOff>
          <xdr:row>4</xdr:row>
          <xdr:rowOff>0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6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합계</a:t>
              </a:r>
            </a:p>
          </xdr:txBody>
        </xdr:sp>
        <xdr:clientData fPrintsWithSheet="0"/>
      </xdr:twoCellAnchor>
    </mc:Choice>
    <mc:Fallback/>
  </mc:AlternateContent>
  <xdr:twoCellAnchor>
    <xdr:from>
      <xdr:col>8</xdr:col>
      <xdr:colOff>0</xdr:colOff>
      <xdr:row>5</xdr:row>
      <xdr:rowOff>0</xdr:rowOff>
    </xdr:from>
    <xdr:to>
      <xdr:col>10</xdr:col>
      <xdr:colOff>7620</xdr:colOff>
      <xdr:row>7</xdr:row>
      <xdr:rowOff>0</xdr:rowOff>
    </xdr:to>
    <xdr:sp macro="[0]!서식" textlink="">
      <xdr:nvSpPr>
        <xdr:cNvPr id="2" name="화살표: 오각형 1">
          <a:extLst>
            <a:ext uri="{FF2B5EF4-FFF2-40B4-BE49-F238E27FC236}">
              <a16:creationId xmlns:a16="http://schemas.microsoft.com/office/drawing/2014/main" id="{E8814810-8D4E-BFB6-0F6D-BC2D4F9CD7C5}"/>
            </a:ext>
          </a:extLst>
        </xdr:cNvPr>
        <xdr:cNvSpPr/>
      </xdr:nvSpPr>
      <xdr:spPr>
        <a:xfrm>
          <a:off x="5364480" y="1150620"/>
          <a:ext cx="1348740" cy="441960"/>
        </a:xfrm>
        <a:prstGeom prst="homePlate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서식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9</xdr:row>
      <xdr:rowOff>0</xdr:rowOff>
    </xdr:from>
    <xdr:to>
      <xdr:col>10</xdr:col>
      <xdr:colOff>0</xdr:colOff>
      <xdr:row>27</xdr:row>
      <xdr:rowOff>0</xdr:rowOff>
    </xdr:to>
    <xdr:graphicFrame macro="">
      <xdr:nvGraphicFramePr>
        <xdr:cNvPr id="2" name="차트 1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1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"/>
  <sheetViews>
    <sheetView workbookViewId="0"/>
  </sheetViews>
  <sheetFormatPr defaultRowHeight="17.399999999999999"/>
  <cols>
    <col min="1" max="1" width="10.59765625" customWidth="1"/>
    <col min="3" max="4" width="13.59765625" bestFit="1" customWidth="1"/>
    <col min="5" max="6" width="13.8984375" bestFit="1" customWidth="1"/>
  </cols>
  <sheetData>
    <row r="1" spans="1:1">
      <c r="A1" t="s">
        <v>53</v>
      </c>
    </row>
  </sheetData>
  <phoneticPr fontId="1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A1:G13"/>
  <sheetViews>
    <sheetView workbookViewId="0">
      <selection activeCell="J18" sqref="J18"/>
    </sheetView>
  </sheetViews>
  <sheetFormatPr defaultRowHeight="17.399999999999999"/>
  <cols>
    <col min="3" max="3" width="15" bestFit="1" customWidth="1"/>
    <col min="5" max="5" width="17.19921875" bestFit="1" customWidth="1"/>
  </cols>
  <sheetData>
    <row r="1" spans="1:7" ht="30" customHeight="1">
      <c r="A1" s="42" t="s">
        <v>125</v>
      </c>
      <c r="B1" s="42"/>
      <c r="C1" s="42"/>
      <c r="D1" s="42"/>
      <c r="E1" s="42"/>
      <c r="F1" s="42"/>
      <c r="G1" s="42"/>
    </row>
    <row r="2" spans="1:7" ht="18" thickBot="1"/>
    <row r="3" spans="1:7">
      <c r="A3" s="45" t="s">
        <v>77</v>
      </c>
      <c r="B3" s="46" t="s">
        <v>78</v>
      </c>
      <c r="C3" s="46" t="s">
        <v>79</v>
      </c>
      <c r="D3" s="46" t="s">
        <v>80</v>
      </c>
      <c r="E3" s="46" t="s">
        <v>270</v>
      </c>
      <c r="F3" s="46" t="s">
        <v>81</v>
      </c>
      <c r="G3" s="47" t="s">
        <v>82</v>
      </c>
    </row>
    <row r="4" spans="1:7">
      <c r="A4" s="48" t="s">
        <v>114</v>
      </c>
      <c r="B4" s="43" t="s">
        <v>83</v>
      </c>
      <c r="C4" s="3" t="s">
        <v>84</v>
      </c>
      <c r="D4" s="3" t="s">
        <v>90</v>
      </c>
      <c r="E4" s="3" t="s">
        <v>91</v>
      </c>
      <c r="F4" s="44">
        <v>35000</v>
      </c>
      <c r="G4" s="49">
        <v>3510</v>
      </c>
    </row>
    <row r="5" spans="1:7">
      <c r="A5" s="48" t="s">
        <v>113</v>
      </c>
      <c r="B5" s="43"/>
      <c r="C5" s="3" t="s">
        <v>85</v>
      </c>
      <c r="D5" s="3" t="s">
        <v>93</v>
      </c>
      <c r="E5" s="3" t="s">
        <v>92</v>
      </c>
      <c r="F5" s="44">
        <v>44000</v>
      </c>
      <c r="G5" s="49">
        <v>1570</v>
      </c>
    </row>
    <row r="6" spans="1:7">
      <c r="A6" s="48" t="s">
        <v>115</v>
      </c>
      <c r="B6" s="43"/>
      <c r="C6" s="3" t="s">
        <v>86</v>
      </c>
      <c r="D6" s="3" t="s">
        <v>87</v>
      </c>
      <c r="E6" s="3" t="s">
        <v>94</v>
      </c>
      <c r="F6" s="44">
        <v>29000</v>
      </c>
      <c r="G6" s="49">
        <v>2154</v>
      </c>
    </row>
    <row r="7" spans="1:7">
      <c r="A7" s="48" t="s">
        <v>116</v>
      </c>
      <c r="B7" s="43"/>
      <c r="C7" s="3" t="s">
        <v>88</v>
      </c>
      <c r="D7" s="3" t="s">
        <v>89</v>
      </c>
      <c r="E7" s="3" t="s">
        <v>95</v>
      </c>
      <c r="F7" s="44">
        <v>69000</v>
      </c>
      <c r="G7" s="49">
        <v>850</v>
      </c>
    </row>
    <row r="8" spans="1:7">
      <c r="A8" s="48" t="s">
        <v>119</v>
      </c>
      <c r="B8" s="43"/>
      <c r="C8" s="3" t="s">
        <v>117</v>
      </c>
      <c r="D8" s="3" t="s">
        <v>118</v>
      </c>
      <c r="E8" s="3" t="s">
        <v>120</v>
      </c>
      <c r="F8" s="44">
        <v>30000</v>
      </c>
      <c r="G8" s="49">
        <v>6241</v>
      </c>
    </row>
    <row r="9" spans="1:7">
      <c r="A9" s="48" t="s">
        <v>109</v>
      </c>
      <c r="B9" s="43" t="s">
        <v>96</v>
      </c>
      <c r="C9" s="3" t="s">
        <v>97</v>
      </c>
      <c r="D9" s="3" t="s">
        <v>107</v>
      </c>
      <c r="E9" s="3" t="s">
        <v>108</v>
      </c>
      <c r="F9" s="44">
        <v>37000</v>
      </c>
      <c r="G9" s="49">
        <v>8500</v>
      </c>
    </row>
    <row r="10" spans="1:7">
      <c r="A10" s="48" t="s">
        <v>110</v>
      </c>
      <c r="B10" s="43"/>
      <c r="C10" s="3" t="s">
        <v>98</v>
      </c>
      <c r="D10" s="3" t="s">
        <v>99</v>
      </c>
      <c r="E10" s="3" t="s">
        <v>100</v>
      </c>
      <c r="F10" s="44">
        <v>45000</v>
      </c>
      <c r="G10" s="49">
        <v>1260</v>
      </c>
    </row>
    <row r="11" spans="1:7">
      <c r="A11" s="48" t="s">
        <v>111</v>
      </c>
      <c r="B11" s="43"/>
      <c r="C11" s="3" t="s">
        <v>101</v>
      </c>
      <c r="D11" s="3" t="s">
        <v>102</v>
      </c>
      <c r="E11" s="3" t="s">
        <v>103</v>
      </c>
      <c r="F11" s="44">
        <v>42000</v>
      </c>
      <c r="G11" s="49">
        <v>3160</v>
      </c>
    </row>
    <row r="12" spans="1:7">
      <c r="A12" s="48" t="s">
        <v>112</v>
      </c>
      <c r="B12" s="43"/>
      <c r="C12" s="3" t="s">
        <v>104</v>
      </c>
      <c r="D12" s="3" t="s">
        <v>105</v>
      </c>
      <c r="E12" s="3" t="s">
        <v>106</v>
      </c>
      <c r="F12" s="44">
        <v>45000</v>
      </c>
      <c r="G12" s="49">
        <v>2740</v>
      </c>
    </row>
    <row r="13" spans="1:7" ht="18" thickBot="1">
      <c r="A13" s="50" t="s">
        <v>124</v>
      </c>
      <c r="B13" s="51"/>
      <c r="C13" s="52" t="s">
        <v>121</v>
      </c>
      <c r="D13" s="52" t="s">
        <v>122</v>
      </c>
      <c r="E13" s="52" t="s">
        <v>123</v>
      </c>
      <c r="F13" s="53">
        <v>43000</v>
      </c>
      <c r="G13" s="54">
        <v>4520</v>
      </c>
    </row>
  </sheetData>
  <mergeCells count="3">
    <mergeCell ref="A1:G1"/>
    <mergeCell ref="B9:B13"/>
    <mergeCell ref="B4:B8"/>
  </mergeCells>
  <phoneticPr fontId="1" type="noConversion"/>
  <pageMargins left="0.7" right="0.7" top="0.75" bottom="0.75" header="0.3" footer="0.3"/>
  <pageSetup paperSize="9" orientation="portrait" r:id="rId1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dimension ref="A1:R20"/>
  <sheetViews>
    <sheetView workbookViewId="0">
      <selection activeCell="P8" sqref="P8"/>
    </sheetView>
  </sheetViews>
  <sheetFormatPr defaultRowHeight="17.399999999999999"/>
  <cols>
    <col min="3" max="4" width="8.5" bestFit="1" customWidth="1"/>
    <col min="5" max="5" width="12.3984375" bestFit="1" customWidth="1"/>
    <col min="6" max="6" width="8.5" bestFit="1" customWidth="1"/>
    <col min="7" max="7" width="10.3984375" bestFit="1" customWidth="1"/>
    <col min="8" max="8" width="9" bestFit="1" customWidth="1"/>
  </cols>
  <sheetData>
    <row r="1" spans="1:18">
      <c r="A1" t="s">
        <v>126</v>
      </c>
    </row>
    <row r="3" spans="1:18">
      <c r="A3" s="1" t="s">
        <v>8</v>
      </c>
      <c r="B3" s="1" t="s">
        <v>9</v>
      </c>
      <c r="C3" s="1" t="s">
        <v>10</v>
      </c>
      <c r="D3" s="1" t="s">
        <v>11</v>
      </c>
      <c r="E3" s="1" t="s">
        <v>12</v>
      </c>
      <c r="F3" s="1" t="s">
        <v>13</v>
      </c>
      <c r="G3" s="1" t="s">
        <v>14</v>
      </c>
      <c r="H3" s="1" t="s">
        <v>15</v>
      </c>
    </row>
    <row r="4" spans="1:18">
      <c r="A4" s="1" t="s">
        <v>16</v>
      </c>
      <c r="B4" s="1" t="s">
        <v>17</v>
      </c>
      <c r="C4" s="3">
        <v>2</v>
      </c>
      <c r="D4" s="3">
        <v>94</v>
      </c>
      <c r="E4" s="3">
        <v>93</v>
      </c>
      <c r="F4" s="3">
        <v>95</v>
      </c>
      <c r="G4" s="3">
        <v>98</v>
      </c>
      <c r="H4" s="3">
        <v>94</v>
      </c>
      <c r="I4">
        <f>_xlfn.RANK.EQ(H4,$H$4:$H$20)</f>
        <v>2</v>
      </c>
    </row>
    <row r="5" spans="1:18">
      <c r="A5" s="1" t="s">
        <v>18</v>
      </c>
      <c r="B5" s="1" t="s">
        <v>19</v>
      </c>
      <c r="C5" s="3">
        <v>3</v>
      </c>
      <c r="D5" s="3">
        <v>93</v>
      </c>
      <c r="E5" s="3">
        <v>90</v>
      </c>
      <c r="F5" s="3">
        <v>80</v>
      </c>
      <c r="G5" s="3">
        <v>85</v>
      </c>
      <c r="H5" s="3">
        <v>81</v>
      </c>
      <c r="I5">
        <f t="shared" ref="I5:I20" si="0">_xlfn.RANK.EQ(H5,$H$4:$H$20)</f>
        <v>12</v>
      </c>
    </row>
    <row r="6" spans="1:18">
      <c r="A6" s="1" t="s">
        <v>20</v>
      </c>
      <c r="B6" s="1" t="s">
        <v>21</v>
      </c>
      <c r="C6" s="3">
        <v>1</v>
      </c>
      <c r="D6" s="3">
        <v>95</v>
      </c>
      <c r="E6" s="3">
        <v>89</v>
      </c>
      <c r="F6" s="3">
        <v>98</v>
      </c>
      <c r="G6" s="3">
        <v>84</v>
      </c>
      <c r="H6" s="3">
        <v>90</v>
      </c>
      <c r="I6">
        <f t="shared" si="0"/>
        <v>6</v>
      </c>
    </row>
    <row r="7" spans="1:18">
      <c r="A7" s="1" t="s">
        <v>22</v>
      </c>
      <c r="B7" s="1" t="s">
        <v>23</v>
      </c>
      <c r="C7" s="3">
        <v>4</v>
      </c>
      <c r="D7" s="3">
        <v>85</v>
      </c>
      <c r="E7" s="3">
        <v>80</v>
      </c>
      <c r="F7" s="3">
        <v>93</v>
      </c>
      <c r="G7" s="3">
        <v>72</v>
      </c>
      <c r="H7" s="3">
        <v>73</v>
      </c>
      <c r="I7">
        <f t="shared" si="0"/>
        <v>16</v>
      </c>
    </row>
    <row r="8" spans="1:18">
      <c r="A8" s="1" t="s">
        <v>24</v>
      </c>
      <c r="B8" s="1" t="s">
        <v>25</v>
      </c>
      <c r="C8" s="3">
        <v>2</v>
      </c>
      <c r="D8" s="3">
        <v>88</v>
      </c>
      <c r="E8" s="3">
        <v>90</v>
      </c>
      <c r="F8" s="3">
        <v>86</v>
      </c>
      <c r="G8" s="3">
        <v>92</v>
      </c>
      <c r="H8" s="3">
        <v>77</v>
      </c>
      <c r="I8">
        <f t="shared" si="0"/>
        <v>14</v>
      </c>
    </row>
    <row r="9" spans="1:18">
      <c r="A9" s="1" t="s">
        <v>26</v>
      </c>
      <c r="B9" s="1" t="s">
        <v>27</v>
      </c>
      <c r="C9" s="3">
        <v>1</v>
      </c>
      <c r="D9" s="3">
        <v>85</v>
      </c>
      <c r="E9" s="3">
        <v>80</v>
      </c>
      <c r="F9" s="3">
        <v>95</v>
      </c>
      <c r="G9" s="3">
        <v>73</v>
      </c>
      <c r="H9" s="3">
        <v>91</v>
      </c>
      <c r="I9">
        <f t="shared" si="0"/>
        <v>4</v>
      </c>
    </row>
    <row r="10" spans="1:18">
      <c r="A10" s="1" t="s">
        <v>28</v>
      </c>
      <c r="B10" s="1" t="s">
        <v>29</v>
      </c>
      <c r="C10" s="3">
        <v>4</v>
      </c>
      <c r="D10" s="3">
        <v>89</v>
      </c>
      <c r="E10" s="3">
        <v>90</v>
      </c>
      <c r="F10" s="3">
        <v>88</v>
      </c>
      <c r="G10" s="3">
        <v>91</v>
      </c>
      <c r="H10" s="3">
        <v>80</v>
      </c>
      <c r="I10">
        <f t="shared" si="0"/>
        <v>13</v>
      </c>
    </row>
    <row r="11" spans="1:18">
      <c r="A11" s="1" t="s">
        <v>30</v>
      </c>
      <c r="B11" s="1" t="s">
        <v>31</v>
      </c>
      <c r="C11" s="3">
        <v>2</v>
      </c>
      <c r="D11" s="3">
        <v>93</v>
      </c>
      <c r="E11" s="3">
        <v>80</v>
      </c>
      <c r="F11" s="3">
        <v>81</v>
      </c>
      <c r="G11" s="3">
        <v>77</v>
      </c>
      <c r="H11" s="3">
        <v>85</v>
      </c>
      <c r="I11">
        <f t="shared" si="0"/>
        <v>9</v>
      </c>
    </row>
    <row r="12" spans="1:18">
      <c r="A12" s="1" t="s">
        <v>32</v>
      </c>
      <c r="B12" s="1" t="s">
        <v>33</v>
      </c>
      <c r="C12" s="3">
        <v>3</v>
      </c>
      <c r="D12" s="3">
        <v>95</v>
      </c>
      <c r="E12" s="3">
        <v>73</v>
      </c>
      <c r="F12" s="3">
        <v>86</v>
      </c>
      <c r="G12" s="3">
        <v>89</v>
      </c>
      <c r="H12" s="3">
        <v>83</v>
      </c>
      <c r="I12">
        <f t="shared" si="0"/>
        <v>11</v>
      </c>
      <c r="K12" s="55" t="s">
        <v>272</v>
      </c>
      <c r="L12" s="41"/>
      <c r="M12" s="41"/>
      <c r="N12" s="41"/>
      <c r="O12" s="41"/>
      <c r="P12" s="41"/>
      <c r="Q12" s="41"/>
      <c r="R12" s="41"/>
    </row>
    <row r="13" spans="1:18">
      <c r="A13" s="1" t="s">
        <v>34</v>
      </c>
      <c r="B13" s="1" t="s">
        <v>35</v>
      </c>
      <c r="C13" s="3">
        <v>2</v>
      </c>
      <c r="D13" s="3">
        <v>84</v>
      </c>
      <c r="E13" s="3">
        <v>95</v>
      </c>
      <c r="F13" s="3">
        <v>80</v>
      </c>
      <c r="G13" s="3">
        <v>98</v>
      </c>
      <c r="H13" s="3">
        <v>86</v>
      </c>
      <c r="I13">
        <f t="shared" si="0"/>
        <v>8</v>
      </c>
      <c r="K13" s="41"/>
      <c r="L13" s="41"/>
      <c r="M13" s="41"/>
      <c r="N13" s="41"/>
      <c r="O13" s="41"/>
      <c r="P13" s="41"/>
      <c r="Q13" s="41"/>
      <c r="R13" s="41"/>
    </row>
    <row r="14" spans="1:18">
      <c r="A14" s="1" t="s">
        <v>36</v>
      </c>
      <c r="B14" s="1" t="s">
        <v>37</v>
      </c>
      <c r="C14" s="3">
        <v>1</v>
      </c>
      <c r="D14" s="3">
        <v>77</v>
      </c>
      <c r="E14" s="3">
        <v>90</v>
      </c>
      <c r="F14" s="3">
        <v>92</v>
      </c>
      <c r="G14" s="3">
        <v>79</v>
      </c>
      <c r="H14" s="3">
        <v>91</v>
      </c>
      <c r="I14">
        <f t="shared" si="0"/>
        <v>4</v>
      </c>
    </row>
    <row r="15" spans="1:18">
      <c r="A15" s="1" t="s">
        <v>38</v>
      </c>
      <c r="B15" s="1" t="s">
        <v>39</v>
      </c>
      <c r="C15" s="3">
        <v>2</v>
      </c>
      <c r="D15" s="3">
        <v>81</v>
      </c>
      <c r="E15" s="3">
        <v>72</v>
      </c>
      <c r="F15" s="3">
        <v>90</v>
      </c>
      <c r="G15" s="3">
        <v>88</v>
      </c>
      <c r="H15" s="3">
        <v>95</v>
      </c>
      <c r="I15">
        <f t="shared" si="0"/>
        <v>1</v>
      </c>
    </row>
    <row r="16" spans="1:18">
      <c r="A16" s="1" t="s">
        <v>40</v>
      </c>
      <c r="B16" s="1" t="s">
        <v>41</v>
      </c>
      <c r="C16" s="3">
        <v>4</v>
      </c>
      <c r="D16" s="3">
        <v>85</v>
      </c>
      <c r="E16" s="3">
        <v>95</v>
      </c>
      <c r="F16" s="3">
        <v>91</v>
      </c>
      <c r="G16" s="3">
        <v>84</v>
      </c>
      <c r="H16" s="3">
        <v>73</v>
      </c>
      <c r="I16">
        <f t="shared" si="0"/>
        <v>16</v>
      </c>
    </row>
    <row r="17" spans="1:9">
      <c r="A17" s="1" t="s">
        <v>42</v>
      </c>
      <c r="B17" s="1" t="s">
        <v>43</v>
      </c>
      <c r="C17" s="3">
        <v>2</v>
      </c>
      <c r="D17" s="3">
        <v>81</v>
      </c>
      <c r="E17" s="3">
        <v>80</v>
      </c>
      <c r="F17" s="3">
        <v>72</v>
      </c>
      <c r="G17" s="3">
        <v>88</v>
      </c>
      <c r="H17" s="3">
        <v>85</v>
      </c>
      <c r="I17">
        <f t="shared" si="0"/>
        <v>9</v>
      </c>
    </row>
    <row r="18" spans="1:9">
      <c r="A18" s="1" t="s">
        <v>44</v>
      </c>
      <c r="B18" s="1" t="s">
        <v>45</v>
      </c>
      <c r="C18" s="3">
        <v>3</v>
      </c>
      <c r="D18" s="3">
        <v>95</v>
      </c>
      <c r="E18" s="3">
        <v>73</v>
      </c>
      <c r="F18" s="3">
        <v>80</v>
      </c>
      <c r="G18" s="3">
        <v>93</v>
      </c>
      <c r="H18" s="3">
        <v>88</v>
      </c>
      <c r="I18">
        <f t="shared" si="0"/>
        <v>7</v>
      </c>
    </row>
    <row r="19" spans="1:9">
      <c r="A19" s="1" t="s">
        <v>46</v>
      </c>
      <c r="B19" s="1" t="s">
        <v>47</v>
      </c>
      <c r="C19" s="3">
        <v>1</v>
      </c>
      <c r="D19" s="3">
        <v>90</v>
      </c>
      <c r="E19" s="3">
        <v>89</v>
      </c>
      <c r="F19" s="3">
        <v>92</v>
      </c>
      <c r="G19" s="3">
        <v>81</v>
      </c>
      <c r="H19" s="3">
        <v>77</v>
      </c>
      <c r="I19">
        <f t="shared" si="0"/>
        <v>14</v>
      </c>
    </row>
    <row r="20" spans="1:9">
      <c r="A20" s="1" t="s">
        <v>48</v>
      </c>
      <c r="B20" s="1" t="s">
        <v>49</v>
      </c>
      <c r="C20" s="3">
        <v>3</v>
      </c>
      <c r="D20" s="3">
        <v>93</v>
      </c>
      <c r="E20" s="3">
        <v>98</v>
      </c>
      <c r="F20" s="3">
        <v>95</v>
      </c>
      <c r="G20" s="3">
        <v>89</v>
      </c>
      <c r="H20" s="3">
        <v>94</v>
      </c>
      <c r="I20">
        <f t="shared" si="0"/>
        <v>2</v>
      </c>
    </row>
  </sheetData>
  <mergeCells count="1">
    <mergeCell ref="K12:R13"/>
  </mergeCells>
  <phoneticPr fontId="1" type="noConversion"/>
  <conditionalFormatting sqref="A4:H20">
    <cfRule type="expression" dxfId="0" priority="1">
      <formula>OR(LEFT($A4,1), _xlfn.RANK.EQ($H4,$H$4:$H$20)&lt;=5)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K42"/>
  <sheetViews>
    <sheetView topLeftCell="A21" workbookViewId="0">
      <selection activeCell="D30" sqref="D30:D39"/>
    </sheetView>
  </sheetViews>
  <sheetFormatPr defaultColWidth="8.59765625" defaultRowHeight="17.399999999999999"/>
  <cols>
    <col min="2" max="2" width="13.59765625" customWidth="1"/>
    <col min="5" max="5" width="10.59765625" bestFit="1" customWidth="1"/>
    <col min="7" max="7" width="10.59765625" customWidth="1"/>
    <col min="10" max="11" width="12.59765625" customWidth="1"/>
  </cols>
  <sheetData>
    <row r="1" spans="1:11">
      <c r="A1" s="13" t="s">
        <v>155</v>
      </c>
      <c r="B1" s="14" t="s">
        <v>156</v>
      </c>
      <c r="C1" s="13"/>
      <c r="D1" s="13"/>
      <c r="E1" s="13"/>
      <c r="F1" s="15"/>
      <c r="G1" s="16" t="s">
        <v>157</v>
      </c>
      <c r="H1" s="17" t="s">
        <v>158</v>
      </c>
      <c r="I1" s="16"/>
      <c r="J1" s="16"/>
      <c r="K1" s="16"/>
    </row>
    <row r="2" spans="1:11">
      <c r="A2" s="18" t="s">
        <v>159</v>
      </c>
      <c r="B2" s="18" t="s">
        <v>160</v>
      </c>
      <c r="C2" s="18" t="s">
        <v>161</v>
      </c>
      <c r="D2" s="18" t="s">
        <v>162</v>
      </c>
      <c r="E2" s="18" t="s">
        <v>163</v>
      </c>
      <c r="F2" s="15"/>
      <c r="G2" s="19" t="s">
        <v>164</v>
      </c>
      <c r="H2" s="19" t="s">
        <v>165</v>
      </c>
      <c r="I2" s="19" t="s">
        <v>166</v>
      </c>
      <c r="J2" s="19" t="s">
        <v>167</v>
      </c>
      <c r="K2" s="20" t="s">
        <v>168</v>
      </c>
    </row>
    <row r="3" spans="1:11">
      <c r="A3" s="21" t="s">
        <v>169</v>
      </c>
      <c r="B3" s="18" t="s">
        <v>170</v>
      </c>
      <c r="C3" s="22" t="s">
        <v>171</v>
      </c>
      <c r="D3" s="22" t="s">
        <v>172</v>
      </c>
      <c r="E3" s="23">
        <v>8500000</v>
      </c>
      <c r="F3" s="15"/>
      <c r="G3" s="24">
        <v>45387</v>
      </c>
      <c r="H3" s="19" t="s">
        <v>173</v>
      </c>
      <c r="I3" s="19" t="s">
        <v>174</v>
      </c>
      <c r="J3" s="21" t="s">
        <v>175</v>
      </c>
      <c r="K3" s="19" t="str" cm="1">
        <f t="array" ref="K3">_xlfn.SWITCH(MONTH(G3),3,"정시",4,"정시",5,"정시",9,"수시","")</f>
        <v>정시</v>
      </c>
    </row>
    <row r="4" spans="1:11">
      <c r="A4" s="21" t="s">
        <v>176</v>
      </c>
      <c r="B4" s="18" t="s">
        <v>177</v>
      </c>
      <c r="C4" s="25" t="s">
        <v>178</v>
      </c>
      <c r="D4" s="25" t="s">
        <v>179</v>
      </c>
      <c r="E4" s="23">
        <v>6000000</v>
      </c>
      <c r="F4" s="15"/>
      <c r="G4" s="24">
        <v>45607</v>
      </c>
      <c r="H4" s="19" t="s">
        <v>180</v>
      </c>
      <c r="I4" s="19" t="s">
        <v>181</v>
      </c>
      <c r="J4" s="21" t="s">
        <v>182</v>
      </c>
      <c r="K4" s="19" t="str" cm="1">
        <f t="array" ref="K4">_xlfn.SWITCH(MONTH(G4),3,"정시",4,"정시",5,"정시",9,"수시","")</f>
        <v/>
      </c>
    </row>
    <row r="5" spans="1:11">
      <c r="A5" s="21" t="s">
        <v>183</v>
      </c>
      <c r="B5" s="18" t="s">
        <v>184</v>
      </c>
      <c r="C5" s="25" t="s">
        <v>185</v>
      </c>
      <c r="D5" s="25" t="s">
        <v>172</v>
      </c>
      <c r="E5" s="26">
        <v>7000000</v>
      </c>
      <c r="F5" s="15"/>
      <c r="G5" s="24">
        <v>45374</v>
      </c>
      <c r="H5" s="19" t="s">
        <v>186</v>
      </c>
      <c r="I5" s="19" t="s">
        <v>187</v>
      </c>
      <c r="J5" s="21" t="s">
        <v>188</v>
      </c>
      <c r="K5" s="19" t="str" cm="1">
        <f t="array" ref="K5">_xlfn.SWITCH(MONTH(G5),3,"정시",4,"정시",5,"정시",9,"수시","")</f>
        <v>정시</v>
      </c>
    </row>
    <row r="6" spans="1:11">
      <c r="A6" s="21" t="s">
        <v>189</v>
      </c>
      <c r="B6" s="18" t="s">
        <v>170</v>
      </c>
      <c r="C6" s="25" t="s">
        <v>185</v>
      </c>
      <c r="D6" s="22" t="s">
        <v>172</v>
      </c>
      <c r="E6" s="26">
        <v>7000000</v>
      </c>
      <c r="F6" s="15"/>
      <c r="G6" s="24">
        <v>45638</v>
      </c>
      <c r="H6" s="19" t="s">
        <v>190</v>
      </c>
      <c r="I6" s="19" t="s">
        <v>191</v>
      </c>
      <c r="J6" s="21" t="s">
        <v>192</v>
      </c>
      <c r="K6" s="19" t="str" cm="1">
        <f t="array" ref="K6">_xlfn.SWITCH(MONTH(G6),3,"정시",4,"정시",5,"정시",9,"수시","")</f>
        <v/>
      </c>
    </row>
    <row r="7" spans="1:11">
      <c r="A7" s="21" t="s">
        <v>193</v>
      </c>
      <c r="B7" s="18" t="s">
        <v>184</v>
      </c>
      <c r="C7" s="25" t="s">
        <v>185</v>
      </c>
      <c r="D7" s="22" t="s">
        <v>194</v>
      </c>
      <c r="E7" s="23">
        <v>5000000</v>
      </c>
      <c r="F7" s="15"/>
      <c r="G7" s="24">
        <v>45420</v>
      </c>
      <c r="H7" s="19" t="s">
        <v>195</v>
      </c>
      <c r="I7" s="19" t="s">
        <v>196</v>
      </c>
      <c r="J7" s="21" t="s">
        <v>197</v>
      </c>
      <c r="K7" s="19" t="str" cm="1">
        <f t="array" ref="K7">_xlfn.SWITCH(MONTH(G7),3,"정시",4,"정시",5,"정시",9,"수시","")</f>
        <v>정시</v>
      </c>
    </row>
    <row r="8" spans="1:11">
      <c r="A8" s="21" t="s">
        <v>198</v>
      </c>
      <c r="B8" s="18" t="s">
        <v>184</v>
      </c>
      <c r="C8" s="25" t="s">
        <v>171</v>
      </c>
      <c r="D8" s="25" t="s">
        <v>179</v>
      </c>
      <c r="E8" s="26">
        <v>7500000</v>
      </c>
      <c r="F8" s="15"/>
      <c r="G8" s="24">
        <v>45550</v>
      </c>
      <c r="H8" s="19" t="s">
        <v>199</v>
      </c>
      <c r="I8" s="19" t="s">
        <v>200</v>
      </c>
      <c r="J8" s="21" t="s">
        <v>201</v>
      </c>
      <c r="K8" s="19" t="str" cm="1">
        <f t="array" ref="K8">_xlfn.SWITCH(MONTH(G8),3,"정시",4,"정시",5,"정시",9,"수시","")</f>
        <v>수시</v>
      </c>
    </row>
    <row r="9" spans="1:11">
      <c r="A9" s="21" t="s">
        <v>202</v>
      </c>
      <c r="B9" s="18" t="s">
        <v>184</v>
      </c>
      <c r="C9" s="25" t="s">
        <v>185</v>
      </c>
      <c r="D9" s="25" t="s">
        <v>203</v>
      </c>
      <c r="E9" s="23">
        <v>5000000</v>
      </c>
      <c r="F9" s="15"/>
      <c r="G9" s="24">
        <v>45410</v>
      </c>
      <c r="H9" s="19" t="s">
        <v>204</v>
      </c>
      <c r="I9" s="19" t="s">
        <v>205</v>
      </c>
      <c r="J9" s="21" t="s">
        <v>206</v>
      </c>
      <c r="K9" s="19" t="str" cm="1">
        <f t="array" ref="K9">_xlfn.SWITCH(MONTH(G9),3,"정시",4,"정시",5,"정시",9,"수시","")</f>
        <v>정시</v>
      </c>
    </row>
    <row r="10" spans="1:11">
      <c r="A10" s="21" t="s">
        <v>207</v>
      </c>
      <c r="B10" s="18" t="s">
        <v>170</v>
      </c>
      <c r="C10" s="25" t="s">
        <v>185</v>
      </c>
      <c r="D10" s="22" t="s">
        <v>179</v>
      </c>
      <c r="E10" s="23">
        <v>6000000</v>
      </c>
      <c r="F10" s="15"/>
      <c r="G10" s="24">
        <v>45548</v>
      </c>
      <c r="H10" s="19" t="s">
        <v>208</v>
      </c>
      <c r="I10" s="19" t="s">
        <v>209</v>
      </c>
      <c r="J10" s="21" t="s">
        <v>210</v>
      </c>
      <c r="K10" s="19" t="str" cm="1">
        <f t="array" ref="K10">_xlfn.SWITCH(MONTH(G10),3,"정시",4,"정시",5,"정시",9,"수시","")</f>
        <v>수시</v>
      </c>
    </row>
    <row r="11" spans="1:11">
      <c r="A11" s="21" t="s">
        <v>211</v>
      </c>
      <c r="B11" s="18" t="s">
        <v>184</v>
      </c>
      <c r="C11" s="25" t="s">
        <v>171</v>
      </c>
      <c r="D11" s="25" t="s">
        <v>203</v>
      </c>
      <c r="E11" s="26">
        <v>6500000</v>
      </c>
      <c r="F11" s="15"/>
      <c r="G11" s="15"/>
      <c r="H11" s="15"/>
      <c r="I11" s="15"/>
      <c r="J11" s="15"/>
      <c r="K11" s="15"/>
    </row>
    <row r="12" spans="1:11">
      <c r="A12" s="21" t="s">
        <v>212</v>
      </c>
      <c r="B12" s="18" t="s">
        <v>213</v>
      </c>
      <c r="C12" s="25" t="s">
        <v>185</v>
      </c>
      <c r="D12" s="25" t="s">
        <v>203</v>
      </c>
      <c r="E12" s="23">
        <v>5000000</v>
      </c>
      <c r="F12" s="15"/>
      <c r="G12" s="15"/>
      <c r="H12" s="15"/>
      <c r="I12" s="15"/>
      <c r="J12" s="15"/>
      <c r="K12" s="15"/>
    </row>
    <row r="13" spans="1:11">
      <c r="A13" s="32" t="s">
        <v>214</v>
      </c>
      <c r="B13" s="33"/>
      <c r="C13" s="33"/>
      <c r="D13" s="34"/>
      <c r="E13" s="23">
        <f>ROUND(AVERAGEIFS(E3:E12,B3:B12,"여",C3:C12,"매니저"),-4)</f>
        <v>6000000</v>
      </c>
      <c r="F13" s="15"/>
      <c r="G13" s="15"/>
      <c r="H13" s="15"/>
      <c r="I13" s="15"/>
      <c r="J13" s="15"/>
      <c r="K13" s="15"/>
    </row>
    <row r="14" spans="1:11">
      <c r="A14" s="15"/>
      <c r="B14" s="15"/>
      <c r="C14" s="15"/>
      <c r="D14" s="15"/>
      <c r="E14" s="15"/>
      <c r="F14" s="15"/>
      <c r="G14" s="15"/>
      <c r="H14" s="15"/>
      <c r="I14" s="15"/>
      <c r="J14" s="15"/>
      <c r="K14" s="15"/>
    </row>
    <row r="15" spans="1:11">
      <c r="A15" s="15" t="s">
        <v>215</v>
      </c>
      <c r="B15" s="5" t="s">
        <v>216</v>
      </c>
      <c r="C15" s="15"/>
      <c r="D15" s="15"/>
      <c r="E15" s="15"/>
      <c r="F15" s="15"/>
      <c r="G15" s="15" t="s">
        <v>217</v>
      </c>
      <c r="H15" s="5" t="s">
        <v>218</v>
      </c>
      <c r="I15" s="15"/>
      <c r="J15" s="15"/>
      <c r="K15" s="15"/>
    </row>
    <row r="16" spans="1:11">
      <c r="A16" s="27" t="s">
        <v>219</v>
      </c>
      <c r="B16" s="27" t="s">
        <v>220</v>
      </c>
      <c r="C16" s="27" t="s">
        <v>221</v>
      </c>
      <c r="D16" s="27" t="s">
        <v>222</v>
      </c>
      <c r="E16" s="28" t="s">
        <v>223</v>
      </c>
      <c r="F16" s="15"/>
      <c r="G16" s="27" t="s">
        <v>224</v>
      </c>
      <c r="H16" s="27" t="s">
        <v>225</v>
      </c>
      <c r="I16" s="27" t="s">
        <v>226</v>
      </c>
      <c r="J16" s="15"/>
      <c r="K16" s="15"/>
    </row>
    <row r="17" spans="1:11">
      <c r="A17" s="27" t="s">
        <v>227</v>
      </c>
      <c r="B17" s="18" t="s">
        <v>170</v>
      </c>
      <c r="C17" s="27" t="s">
        <v>228</v>
      </c>
      <c r="D17" s="27">
        <v>95</v>
      </c>
      <c r="E17" s="29" t="str">
        <f>COUNTBLANK(C17:C26)/COUNTA(A17:A26)*100&amp;"%"</f>
        <v>30%</v>
      </c>
      <c r="F17" s="15"/>
      <c r="G17" s="27">
        <v>185</v>
      </c>
      <c r="H17" s="27">
        <v>115</v>
      </c>
      <c r="I17" s="27" t="s">
        <v>229</v>
      </c>
      <c r="J17" s="15"/>
      <c r="K17" s="15"/>
    </row>
    <row r="18" spans="1:11">
      <c r="A18" s="27" t="s">
        <v>230</v>
      </c>
      <c r="B18" s="18" t="s">
        <v>184</v>
      </c>
      <c r="C18" s="27" t="s">
        <v>228</v>
      </c>
      <c r="D18" s="27">
        <v>90</v>
      </c>
      <c r="E18" s="30"/>
      <c r="F18" s="15"/>
      <c r="G18" s="27">
        <v>156</v>
      </c>
      <c r="H18" s="27">
        <v>144</v>
      </c>
      <c r="I18" s="27" t="s">
        <v>231</v>
      </c>
      <c r="J18" s="15"/>
      <c r="K18" s="15"/>
    </row>
    <row r="19" spans="1:11">
      <c r="A19" s="27" t="s">
        <v>232</v>
      </c>
      <c r="B19" s="18" t="s">
        <v>184</v>
      </c>
      <c r="C19" s="27" t="s">
        <v>228</v>
      </c>
      <c r="D19" s="27">
        <v>95</v>
      </c>
      <c r="E19" s="30"/>
      <c r="F19" s="15"/>
      <c r="G19" s="27">
        <v>198</v>
      </c>
      <c r="H19" s="27">
        <v>102</v>
      </c>
      <c r="I19" s="27" t="s">
        <v>233</v>
      </c>
      <c r="J19" s="15"/>
      <c r="K19" s="15"/>
    </row>
    <row r="20" spans="1:11">
      <c r="A20" s="27" t="s">
        <v>234</v>
      </c>
      <c r="B20" s="18" t="s">
        <v>170</v>
      </c>
      <c r="C20" s="27"/>
      <c r="D20" s="27">
        <v>0</v>
      </c>
      <c r="E20" s="30"/>
      <c r="F20" s="15"/>
      <c r="G20" s="27">
        <v>250</v>
      </c>
      <c r="H20" s="27">
        <v>50</v>
      </c>
      <c r="I20" s="27" t="s">
        <v>235</v>
      </c>
      <c r="J20" s="15"/>
      <c r="K20" s="15"/>
    </row>
    <row r="21" spans="1:11">
      <c r="A21" s="27" t="s">
        <v>236</v>
      </c>
      <c r="B21" s="18" t="s">
        <v>184</v>
      </c>
      <c r="C21" s="27" t="s">
        <v>228</v>
      </c>
      <c r="D21" s="27">
        <v>85</v>
      </c>
      <c r="E21" s="30"/>
      <c r="F21" s="15"/>
      <c r="G21" s="27">
        <v>98</v>
      </c>
      <c r="H21" s="27">
        <v>202</v>
      </c>
      <c r="I21" s="27" t="s">
        <v>237</v>
      </c>
      <c r="J21" s="15"/>
      <c r="K21" s="15"/>
    </row>
    <row r="22" spans="1:11">
      <c r="A22" s="27" t="s">
        <v>238</v>
      </c>
      <c r="B22" s="18" t="s">
        <v>184</v>
      </c>
      <c r="C22" s="27" t="s">
        <v>228</v>
      </c>
      <c r="D22" s="27">
        <v>80</v>
      </c>
      <c r="E22" s="30"/>
      <c r="F22" s="15"/>
      <c r="G22" s="27">
        <v>154</v>
      </c>
      <c r="H22" s="27">
        <v>146</v>
      </c>
      <c r="I22" s="27" t="s">
        <v>239</v>
      </c>
      <c r="J22" s="15"/>
      <c r="K22" s="15"/>
    </row>
    <row r="23" spans="1:11">
      <c r="A23" s="27" t="s">
        <v>240</v>
      </c>
      <c r="B23" s="18" t="s">
        <v>184</v>
      </c>
      <c r="C23" s="27"/>
      <c r="D23" s="27">
        <v>0</v>
      </c>
      <c r="E23" s="30"/>
      <c r="F23" s="15"/>
      <c r="G23" s="27">
        <v>253</v>
      </c>
      <c r="H23" s="27">
        <v>47</v>
      </c>
      <c r="I23" s="27" t="s">
        <v>241</v>
      </c>
      <c r="J23" s="35" t="s">
        <v>242</v>
      </c>
      <c r="K23" s="35"/>
    </row>
    <row r="24" spans="1:11">
      <c r="A24" s="27" t="s">
        <v>243</v>
      </c>
      <c r="B24" s="18" t="s">
        <v>170</v>
      </c>
      <c r="C24" s="27" t="s">
        <v>228</v>
      </c>
      <c r="D24" s="27">
        <v>85</v>
      </c>
      <c r="E24" s="30"/>
      <c r="F24" s="15"/>
      <c r="G24" s="27">
        <v>210</v>
      </c>
      <c r="H24" s="27">
        <v>90</v>
      </c>
      <c r="I24" s="27" t="s">
        <v>244</v>
      </c>
      <c r="J24" s="36" t="str">
        <f>VLOOKUP(LARGE(G17:G24,1),G17:I24,3,FALSE)</f>
        <v>마법사</v>
      </c>
      <c r="K24" s="36"/>
    </row>
    <row r="25" spans="1:11">
      <c r="A25" s="27" t="s">
        <v>245</v>
      </c>
      <c r="B25" s="18" t="s">
        <v>177</v>
      </c>
      <c r="C25" s="27"/>
      <c r="D25" s="27">
        <v>0</v>
      </c>
      <c r="E25" s="30"/>
      <c r="F25" s="15"/>
      <c r="G25" s="15"/>
      <c r="H25" s="15"/>
      <c r="I25" s="15"/>
      <c r="J25" s="15"/>
      <c r="K25" s="15"/>
    </row>
    <row r="26" spans="1:11">
      <c r="A26" s="27" t="s">
        <v>246</v>
      </c>
      <c r="B26" s="18" t="s">
        <v>170</v>
      </c>
      <c r="C26" s="27" t="s">
        <v>228</v>
      </c>
      <c r="D26" s="27">
        <v>95</v>
      </c>
      <c r="E26" s="30"/>
      <c r="F26" s="15"/>
      <c r="G26" s="15"/>
      <c r="H26" s="15"/>
      <c r="I26" s="15"/>
      <c r="J26" s="15"/>
      <c r="K26" s="15"/>
    </row>
    <row r="27" spans="1:11">
      <c r="A27" s="15"/>
      <c r="B27" s="15"/>
      <c r="C27" s="15"/>
      <c r="D27" s="15"/>
      <c r="E27" s="15"/>
      <c r="F27" s="15"/>
      <c r="G27" s="15"/>
      <c r="H27" s="15"/>
      <c r="I27" s="15"/>
      <c r="J27" s="15"/>
      <c r="K27" s="15"/>
    </row>
    <row r="28" spans="1:11">
      <c r="A28" s="31" t="s">
        <v>247</v>
      </c>
      <c r="B28" s="15"/>
      <c r="C28" s="15"/>
      <c r="D28" s="15"/>
      <c r="E28" s="15"/>
      <c r="F28" s="15"/>
      <c r="G28" s="15"/>
      <c r="H28" s="15"/>
      <c r="I28" s="15"/>
      <c r="J28" s="15"/>
      <c r="K28" s="15"/>
    </row>
    <row r="29" spans="1:11">
      <c r="A29" s="27" t="s">
        <v>248</v>
      </c>
      <c r="B29" s="27" t="s">
        <v>249</v>
      </c>
      <c r="C29" s="27" t="s">
        <v>250</v>
      </c>
      <c r="D29" s="28" t="s">
        <v>251</v>
      </c>
      <c r="E29" s="15"/>
      <c r="F29" s="15"/>
      <c r="G29" s="15"/>
      <c r="H29" s="15"/>
      <c r="I29" s="15"/>
      <c r="J29" s="15"/>
      <c r="K29" s="15"/>
    </row>
    <row r="30" spans="1:11">
      <c r="A30" s="21" t="s">
        <v>252</v>
      </c>
      <c r="B30" s="27" t="s">
        <v>253</v>
      </c>
      <c r="C30" s="18" t="s">
        <v>170</v>
      </c>
      <c r="D30" s="27" t="str">
        <f>MID(B30,1,SEARCH("-",B30)-1)</f>
        <v>880808</v>
      </c>
      <c r="E30" s="15"/>
      <c r="F30" s="15"/>
      <c r="G30" s="15"/>
      <c r="H30" s="15"/>
      <c r="I30" s="15"/>
      <c r="J30" s="15"/>
      <c r="K30" s="15"/>
    </row>
    <row r="31" spans="1:11">
      <c r="A31" s="21" t="s">
        <v>176</v>
      </c>
      <c r="B31" s="27" t="s">
        <v>254</v>
      </c>
      <c r="C31" s="18" t="s">
        <v>184</v>
      </c>
      <c r="D31" s="27" t="str">
        <f t="shared" ref="D31:D39" si="0">MID(B31,1,SEARCH("-",B31)-1)</f>
        <v>920214</v>
      </c>
      <c r="E31" s="15"/>
      <c r="F31" s="15"/>
      <c r="G31" s="15"/>
      <c r="H31" s="15"/>
      <c r="I31" s="15"/>
      <c r="J31" s="15"/>
      <c r="K31" s="15"/>
    </row>
    <row r="32" spans="1:11">
      <c r="A32" s="21" t="s">
        <v>255</v>
      </c>
      <c r="B32" s="27" t="s">
        <v>256</v>
      </c>
      <c r="C32" s="18" t="s">
        <v>184</v>
      </c>
      <c r="D32" s="27" t="str">
        <f t="shared" si="0"/>
        <v>900513</v>
      </c>
      <c r="E32" s="15"/>
      <c r="F32" s="15"/>
      <c r="G32" s="15"/>
      <c r="H32" s="15"/>
      <c r="I32" s="15"/>
      <c r="J32" s="15"/>
      <c r="K32" s="15"/>
    </row>
    <row r="33" spans="1:11">
      <c r="A33" s="21" t="s">
        <v>257</v>
      </c>
      <c r="B33" s="27" t="s">
        <v>258</v>
      </c>
      <c r="C33" s="18" t="s">
        <v>170</v>
      </c>
      <c r="D33" s="27" t="str">
        <f t="shared" si="0"/>
        <v>980624</v>
      </c>
      <c r="E33" s="15"/>
      <c r="F33" s="15"/>
      <c r="G33" s="15"/>
      <c r="H33" s="15"/>
      <c r="I33" s="15"/>
      <c r="J33" s="15"/>
      <c r="K33" s="15"/>
    </row>
    <row r="34" spans="1:11">
      <c r="A34" s="21" t="s">
        <v>193</v>
      </c>
      <c r="B34" s="27" t="s">
        <v>259</v>
      </c>
      <c r="C34" s="18" t="s">
        <v>184</v>
      </c>
      <c r="D34" s="27" t="str">
        <f t="shared" si="0"/>
        <v>880507</v>
      </c>
      <c r="E34" s="15"/>
      <c r="F34" s="15"/>
      <c r="G34" s="15"/>
      <c r="H34" s="15"/>
      <c r="I34" s="15"/>
      <c r="J34" s="15"/>
      <c r="K34" s="15"/>
    </row>
    <row r="35" spans="1:11">
      <c r="A35" s="21" t="s">
        <v>260</v>
      </c>
      <c r="B35" s="27" t="s">
        <v>261</v>
      </c>
      <c r="C35" s="18" t="s">
        <v>184</v>
      </c>
      <c r="D35" s="27" t="str">
        <f t="shared" si="0"/>
        <v>780923</v>
      </c>
      <c r="E35" s="15"/>
      <c r="F35" s="15"/>
      <c r="G35" s="15"/>
      <c r="H35" s="15"/>
      <c r="I35" s="15"/>
      <c r="J35" s="15"/>
      <c r="K35" s="15"/>
    </row>
    <row r="36" spans="1:11">
      <c r="A36" s="21" t="s">
        <v>262</v>
      </c>
      <c r="B36" s="27" t="s">
        <v>263</v>
      </c>
      <c r="C36" s="18" t="s">
        <v>184</v>
      </c>
      <c r="D36" s="27" t="str">
        <f t="shared" si="0"/>
        <v>010819</v>
      </c>
      <c r="E36" s="15"/>
      <c r="F36" s="15"/>
      <c r="G36" s="15"/>
      <c r="H36" s="15"/>
      <c r="I36" s="15"/>
      <c r="J36" s="15"/>
      <c r="K36" s="15"/>
    </row>
    <row r="37" spans="1:11">
      <c r="A37" s="21" t="s">
        <v>264</v>
      </c>
      <c r="B37" s="27" t="s">
        <v>265</v>
      </c>
      <c r="C37" s="18" t="s">
        <v>170</v>
      </c>
      <c r="D37" s="27" t="str">
        <f t="shared" si="0"/>
        <v>020901</v>
      </c>
      <c r="E37" s="15"/>
      <c r="F37" s="15"/>
      <c r="G37" s="15"/>
      <c r="H37" s="15"/>
      <c r="I37" s="15"/>
      <c r="J37" s="15"/>
      <c r="K37" s="15"/>
    </row>
    <row r="38" spans="1:11">
      <c r="A38" s="21" t="s">
        <v>266</v>
      </c>
      <c r="B38" s="27" t="s">
        <v>267</v>
      </c>
      <c r="C38" s="18" t="s">
        <v>184</v>
      </c>
      <c r="D38" s="27" t="str">
        <f t="shared" si="0"/>
        <v>850505</v>
      </c>
      <c r="E38" s="15"/>
      <c r="F38" s="15"/>
      <c r="G38" s="15"/>
      <c r="H38" s="15"/>
      <c r="I38" s="15"/>
      <c r="J38" s="15"/>
      <c r="K38" s="15"/>
    </row>
    <row r="39" spans="1:11">
      <c r="A39" s="21" t="s">
        <v>268</v>
      </c>
      <c r="B39" s="27" t="s">
        <v>269</v>
      </c>
      <c r="C39" s="18" t="s">
        <v>170</v>
      </c>
      <c r="D39" s="27" t="str">
        <f t="shared" si="0"/>
        <v>990909</v>
      </c>
      <c r="E39" s="15"/>
      <c r="F39" s="15"/>
      <c r="G39" s="15"/>
      <c r="H39" s="15"/>
      <c r="I39" s="15"/>
      <c r="J39" s="15"/>
      <c r="K39" s="15"/>
    </row>
    <row r="40" spans="1:11">
      <c r="A40" s="15"/>
      <c r="B40" s="15"/>
      <c r="C40" s="15"/>
      <c r="D40" s="15"/>
      <c r="E40" s="15"/>
      <c r="F40" s="15"/>
      <c r="G40" s="15"/>
      <c r="H40" s="15"/>
      <c r="I40" s="15"/>
      <c r="J40" s="15"/>
      <c r="K40" s="15"/>
    </row>
    <row r="41" spans="1:11">
      <c r="A41" s="15"/>
      <c r="B41" s="15"/>
      <c r="C41" s="15"/>
      <c r="D41" s="15"/>
      <c r="E41" s="15"/>
      <c r="F41" s="15"/>
      <c r="G41" s="15"/>
      <c r="H41" s="15"/>
      <c r="I41" s="15"/>
      <c r="J41" s="15"/>
      <c r="K41" s="15"/>
    </row>
    <row r="42" spans="1:11">
      <c r="A42" s="15"/>
      <c r="B42" s="15"/>
      <c r="C42" s="15"/>
      <c r="D42" s="15"/>
      <c r="E42" s="15"/>
      <c r="F42" s="15"/>
      <c r="G42" s="15"/>
      <c r="H42" s="15"/>
      <c r="I42" s="15"/>
      <c r="J42" s="15"/>
      <c r="K42" s="15"/>
    </row>
  </sheetData>
  <mergeCells count="3">
    <mergeCell ref="A13:D13"/>
    <mergeCell ref="J23:K23"/>
    <mergeCell ref="J24:K24"/>
  </mergeCells>
  <phoneticPr fontId="1" type="noConversion"/>
  <conditionalFormatting sqref="B3:B12">
    <cfRule type="uniqueValues" dxfId="3" priority="3"/>
  </conditionalFormatting>
  <conditionalFormatting sqref="B17:B26">
    <cfRule type="uniqueValues" dxfId="2" priority="2"/>
  </conditionalFormatting>
  <conditionalFormatting sqref="C30:C39">
    <cfRule type="uniqueValues" dxfId="1" priority="1"/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dimension ref="A1:I16"/>
  <sheetViews>
    <sheetView workbookViewId="0">
      <selection activeCell="L18" sqref="L18"/>
    </sheetView>
  </sheetViews>
  <sheetFormatPr defaultRowHeight="17.399999999999999"/>
  <cols>
    <col min="1" max="1" width="8.59765625" customWidth="1"/>
    <col min="2" max="2" width="14.59765625" customWidth="1"/>
    <col min="3" max="4" width="10" bestFit="1" customWidth="1"/>
    <col min="5" max="5" width="2.59765625" customWidth="1"/>
    <col min="6" max="7" width="14.59765625" customWidth="1"/>
    <col min="8" max="9" width="10" bestFit="1" customWidth="1"/>
  </cols>
  <sheetData>
    <row r="1" spans="1:9">
      <c r="A1" s="7" t="s">
        <v>127</v>
      </c>
      <c r="C1" s="10"/>
      <c r="D1" s="10"/>
      <c r="E1" s="7"/>
      <c r="F1" s="7" t="s">
        <v>128</v>
      </c>
      <c r="H1" s="10"/>
      <c r="I1" s="10"/>
    </row>
    <row r="2" spans="1:9">
      <c r="A2" s="3" t="s">
        <v>129</v>
      </c>
      <c r="B2" s="8" t="s">
        <v>74</v>
      </c>
      <c r="C2" s="11" t="s">
        <v>75</v>
      </c>
      <c r="D2" s="11" t="s">
        <v>76</v>
      </c>
      <c r="E2" s="7"/>
      <c r="F2" s="9" t="s">
        <v>129</v>
      </c>
      <c r="G2" s="8" t="s">
        <v>74</v>
      </c>
      <c r="H2" s="11" t="s">
        <v>75</v>
      </c>
      <c r="I2" s="11" t="s">
        <v>76</v>
      </c>
    </row>
    <row r="3" spans="1:9">
      <c r="A3" s="3" t="s">
        <v>130</v>
      </c>
      <c r="B3" s="8" t="s">
        <v>131</v>
      </c>
      <c r="C3" s="12">
        <v>36</v>
      </c>
      <c r="D3" s="12">
        <v>189000</v>
      </c>
      <c r="E3" s="7"/>
      <c r="F3" s="9" t="s">
        <v>132</v>
      </c>
      <c r="G3" s="8" t="s">
        <v>131</v>
      </c>
      <c r="H3" s="12">
        <v>55</v>
      </c>
      <c r="I3" s="12">
        <v>149000</v>
      </c>
    </row>
    <row r="4" spans="1:9">
      <c r="A4" s="3" t="s">
        <v>133</v>
      </c>
      <c r="B4" s="8" t="s">
        <v>134</v>
      </c>
      <c r="C4" s="12">
        <v>15</v>
      </c>
      <c r="D4" s="12">
        <v>249000</v>
      </c>
      <c r="E4" s="7"/>
      <c r="F4" s="9" t="s">
        <v>135</v>
      </c>
      <c r="G4" s="8" t="s">
        <v>134</v>
      </c>
      <c r="H4" s="12">
        <v>8</v>
      </c>
      <c r="I4" s="12">
        <v>240000</v>
      </c>
    </row>
    <row r="5" spans="1:9">
      <c r="A5" s="3" t="s">
        <v>133</v>
      </c>
      <c r="B5" s="8" t="s">
        <v>136</v>
      </c>
      <c r="C5" s="12">
        <v>20</v>
      </c>
      <c r="D5" s="12">
        <v>118800</v>
      </c>
      <c r="E5" s="7"/>
      <c r="F5" s="9" t="s">
        <v>137</v>
      </c>
      <c r="G5" s="8" t="s">
        <v>138</v>
      </c>
      <c r="H5" s="12">
        <v>13</v>
      </c>
      <c r="I5" s="12">
        <v>46000</v>
      </c>
    </row>
    <row r="6" spans="1:9">
      <c r="A6" s="3" t="s">
        <v>139</v>
      </c>
      <c r="B6" s="8" t="s">
        <v>140</v>
      </c>
      <c r="C6" s="12">
        <v>45</v>
      </c>
      <c r="D6" s="12">
        <v>58700</v>
      </c>
      <c r="E6" s="7"/>
      <c r="F6" s="9" t="s">
        <v>133</v>
      </c>
      <c r="G6" s="8" t="s">
        <v>141</v>
      </c>
      <c r="H6" s="12">
        <v>350</v>
      </c>
      <c r="I6" s="12">
        <v>400</v>
      </c>
    </row>
    <row r="7" spans="1:9">
      <c r="B7" s="7"/>
      <c r="C7" s="10"/>
      <c r="D7" s="10"/>
      <c r="E7" s="7"/>
      <c r="F7" s="7"/>
      <c r="G7" s="7"/>
      <c r="H7" s="10"/>
      <c r="I7" s="10"/>
    </row>
    <row r="8" spans="1:9">
      <c r="A8" s="7" t="s">
        <v>142</v>
      </c>
      <c r="C8" s="10"/>
      <c r="D8" s="10"/>
      <c r="E8" s="7"/>
      <c r="F8" s="7" t="s">
        <v>271</v>
      </c>
      <c r="G8" s="10"/>
      <c r="H8" s="10"/>
    </row>
    <row r="9" spans="1:9">
      <c r="A9" s="3" t="s">
        <v>129</v>
      </c>
      <c r="B9" s="8" t="s">
        <v>74</v>
      </c>
      <c r="C9" s="11" t="s">
        <v>75</v>
      </c>
      <c r="D9" s="11" t="s">
        <v>76</v>
      </c>
      <c r="E9" s="7"/>
      <c r="F9" s="8" t="s">
        <v>74</v>
      </c>
      <c r="G9" s="11" t="s">
        <v>75</v>
      </c>
      <c r="H9" s="11" t="s">
        <v>76</v>
      </c>
    </row>
    <row r="10" spans="1:9">
      <c r="A10" s="3" t="s">
        <v>143</v>
      </c>
      <c r="B10" s="8" t="s">
        <v>131</v>
      </c>
      <c r="C10" s="12">
        <v>24</v>
      </c>
      <c r="D10" s="12">
        <v>78000</v>
      </c>
      <c r="E10" s="7"/>
      <c r="F10" s="9" t="s">
        <v>273</v>
      </c>
      <c r="G10" s="56">
        <v>115</v>
      </c>
      <c r="H10" s="56">
        <v>416000</v>
      </c>
    </row>
    <row r="11" spans="1:9">
      <c r="A11" s="3" t="s">
        <v>144</v>
      </c>
      <c r="B11" s="8" t="s">
        <v>134</v>
      </c>
      <c r="C11" s="12">
        <v>41</v>
      </c>
      <c r="D11" s="12">
        <v>150000</v>
      </c>
      <c r="E11" s="7"/>
      <c r="F11" s="9" t="s">
        <v>274</v>
      </c>
      <c r="G11" s="56">
        <v>64</v>
      </c>
      <c r="H11" s="56">
        <v>639000</v>
      </c>
    </row>
    <row r="12" spans="1:9">
      <c r="A12" s="3" t="s">
        <v>130</v>
      </c>
      <c r="B12" s="8" t="s">
        <v>145</v>
      </c>
      <c r="C12" s="12">
        <v>35</v>
      </c>
      <c r="D12" s="12">
        <v>57000</v>
      </c>
      <c r="E12" s="7"/>
      <c r="F12" s="9" t="s">
        <v>275</v>
      </c>
      <c r="G12" s="56">
        <v>20</v>
      </c>
      <c r="H12" s="56">
        <v>118800</v>
      </c>
    </row>
    <row r="13" spans="1:9">
      <c r="A13" s="3" t="s">
        <v>133</v>
      </c>
      <c r="B13" s="8" t="s">
        <v>140</v>
      </c>
      <c r="C13" s="12">
        <v>22</v>
      </c>
      <c r="D13" s="12">
        <v>109000</v>
      </c>
      <c r="E13" s="7"/>
      <c r="F13" s="9" t="s">
        <v>276</v>
      </c>
      <c r="G13" s="56">
        <v>35</v>
      </c>
      <c r="H13" s="56">
        <v>57000</v>
      </c>
    </row>
    <row r="14" spans="1:9">
      <c r="B14" s="7"/>
      <c r="C14" s="10"/>
      <c r="D14" s="10"/>
      <c r="E14" s="7"/>
      <c r="F14" s="9" t="s">
        <v>277</v>
      </c>
      <c r="G14" s="56">
        <v>67</v>
      </c>
      <c r="H14" s="56">
        <v>167700</v>
      </c>
    </row>
    <row r="15" spans="1:9">
      <c r="B15" s="7"/>
      <c r="C15" s="10"/>
      <c r="D15" s="10"/>
      <c r="E15" s="7"/>
      <c r="F15" s="9" t="s">
        <v>278</v>
      </c>
      <c r="G15" s="56">
        <v>13</v>
      </c>
      <c r="H15" s="56">
        <v>46000</v>
      </c>
    </row>
    <row r="16" spans="1:9">
      <c r="B16" s="7"/>
      <c r="C16" s="10"/>
      <c r="D16" s="10"/>
      <c r="E16" s="7"/>
      <c r="F16" s="9" t="s">
        <v>279</v>
      </c>
      <c r="G16" s="56">
        <v>350</v>
      </c>
      <c r="H16" s="56">
        <v>400</v>
      </c>
    </row>
  </sheetData>
  <dataConsolidate leftLabels="1" topLabels="1">
    <dataRefs count="3">
      <dataRef ref="B2:D6" sheet="분석작업-1"/>
      <dataRef ref="G2:I6" sheet="분석작업-1"/>
      <dataRef ref="B9:D13" sheet="분석작업-1"/>
    </dataRefs>
  </dataConsolidate>
  <phoneticPr fontId="1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dimension ref="A1:J12"/>
  <sheetViews>
    <sheetView workbookViewId="0">
      <selection activeCell="E4" sqref="E4:J9"/>
    </sheetView>
  </sheetViews>
  <sheetFormatPr defaultRowHeight="17.399999999999999"/>
  <cols>
    <col min="2" max="2" width="11.59765625" bestFit="1" customWidth="1"/>
    <col min="5" max="10" width="12.19921875" customWidth="1"/>
  </cols>
  <sheetData>
    <row r="1" spans="1:10">
      <c r="A1" s="4"/>
    </row>
    <row r="2" spans="1:10">
      <c r="A2" s="37" t="s">
        <v>146</v>
      </c>
      <c r="B2" s="37"/>
      <c r="E2" s="5" t="s">
        <v>147</v>
      </c>
      <c r="J2" s="6"/>
    </row>
    <row r="3" spans="1:10">
      <c r="A3" s="1" t="s">
        <v>148</v>
      </c>
      <c r="B3" s="2">
        <v>5100</v>
      </c>
      <c r="F3" s="38" t="s">
        <v>50</v>
      </c>
      <c r="G3" s="38"/>
      <c r="H3" s="38"/>
      <c r="I3" s="38"/>
      <c r="J3" s="38"/>
    </row>
    <row r="4" spans="1:10">
      <c r="A4" s="1" t="s">
        <v>50</v>
      </c>
      <c r="B4" s="2">
        <v>2000</v>
      </c>
      <c r="E4" s="2">
        <f>B5-SUM(B6:B9)</f>
        <v>2620000</v>
      </c>
      <c r="F4" s="2">
        <v>1500</v>
      </c>
      <c r="G4" s="2">
        <v>2500</v>
      </c>
      <c r="H4" s="2">
        <v>3500</v>
      </c>
      <c r="I4" s="2">
        <v>4500</v>
      </c>
      <c r="J4" s="2">
        <v>5500</v>
      </c>
    </row>
    <row r="5" spans="1:10" ht="17.100000000000001" customHeight="1">
      <c r="A5" s="1" t="s">
        <v>51</v>
      </c>
      <c r="B5" s="2">
        <f>B3*B4</f>
        <v>10200000</v>
      </c>
      <c r="D5" s="39" t="s">
        <v>149</v>
      </c>
      <c r="E5" s="2">
        <v>4000</v>
      </c>
      <c r="F5" s="2">
        <f t="dataTable" ref="F5:J9" dt2D="1" dtr="1" r1="B4" r2="B3"/>
        <v>100000</v>
      </c>
      <c r="G5" s="2">
        <v>2500000</v>
      </c>
      <c r="H5" s="2">
        <v>4900000</v>
      </c>
      <c r="I5" s="2">
        <v>7300000</v>
      </c>
      <c r="J5" s="2">
        <v>9700000</v>
      </c>
    </row>
    <row r="6" spans="1:10">
      <c r="A6" s="1" t="s">
        <v>150</v>
      </c>
      <c r="B6" s="2">
        <f>B3*0.3*B4</f>
        <v>3060000</v>
      </c>
      <c r="D6" s="39"/>
      <c r="E6" s="2">
        <v>4500</v>
      </c>
      <c r="F6" s="2">
        <v>550000</v>
      </c>
      <c r="G6" s="2">
        <v>3250000</v>
      </c>
      <c r="H6" s="2">
        <v>5950000</v>
      </c>
      <c r="I6" s="2">
        <v>8650000</v>
      </c>
      <c r="J6" s="2">
        <v>11350000</v>
      </c>
    </row>
    <row r="7" spans="1:10">
      <c r="A7" s="1" t="s">
        <v>151</v>
      </c>
      <c r="B7" s="2">
        <f>B5*0.1</f>
        <v>1020000</v>
      </c>
      <c r="D7" s="39"/>
      <c r="E7" s="2">
        <v>5000</v>
      </c>
      <c r="F7" s="2">
        <v>1000000</v>
      </c>
      <c r="G7" s="2">
        <v>4000000</v>
      </c>
      <c r="H7" s="2">
        <v>7000000</v>
      </c>
      <c r="I7" s="2">
        <v>10000000</v>
      </c>
      <c r="J7" s="2">
        <v>13000000</v>
      </c>
    </row>
    <row r="8" spans="1:10">
      <c r="A8" s="1" t="s">
        <v>152</v>
      </c>
      <c r="B8" s="2">
        <v>1500000</v>
      </c>
      <c r="D8" s="39"/>
      <c r="E8" s="2">
        <v>5500</v>
      </c>
      <c r="F8" s="2">
        <v>1450000</v>
      </c>
      <c r="G8" s="2">
        <v>4750000</v>
      </c>
      <c r="H8" s="2">
        <v>8050000</v>
      </c>
      <c r="I8" s="2">
        <v>11350000</v>
      </c>
      <c r="J8" s="2">
        <v>14650000</v>
      </c>
    </row>
    <row r="9" spans="1:10">
      <c r="A9" s="1" t="s">
        <v>153</v>
      </c>
      <c r="B9" s="2">
        <v>2000000</v>
      </c>
      <c r="D9" s="39"/>
      <c r="E9" s="2">
        <v>6000</v>
      </c>
      <c r="F9" s="2">
        <v>1900000</v>
      </c>
      <c r="G9" s="2">
        <v>5500000</v>
      </c>
      <c r="H9" s="2">
        <v>9100000</v>
      </c>
      <c r="I9" s="2">
        <v>12700000</v>
      </c>
      <c r="J9" s="2">
        <v>16300000</v>
      </c>
    </row>
    <row r="10" spans="1:10">
      <c r="A10" s="1" t="s">
        <v>52</v>
      </c>
      <c r="B10" s="2">
        <f>B5-SUM(B6:B9)</f>
        <v>2620000</v>
      </c>
      <c r="G10" s="6"/>
    </row>
    <row r="11" spans="1:10">
      <c r="G11" s="6"/>
    </row>
    <row r="12" spans="1:10">
      <c r="G12" s="6"/>
    </row>
  </sheetData>
  <mergeCells count="3">
    <mergeCell ref="A2:B2"/>
    <mergeCell ref="F3:J3"/>
    <mergeCell ref="D5:D9"/>
  </mergeCells>
  <phoneticPr fontId="1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dimension ref="A1:G15"/>
  <sheetViews>
    <sheetView workbookViewId="0">
      <selection activeCell="K11" sqref="K11"/>
    </sheetView>
  </sheetViews>
  <sheetFormatPr defaultRowHeight="17.399999999999999"/>
  <sheetData>
    <row r="1" spans="1:7" ht="21">
      <c r="A1" s="40" t="s">
        <v>70</v>
      </c>
      <c r="B1" s="40"/>
      <c r="C1" s="40"/>
      <c r="D1" s="40"/>
      <c r="E1" s="40"/>
      <c r="F1" s="40"/>
      <c r="G1" s="40"/>
    </row>
    <row r="3" spans="1:7">
      <c r="A3" s="57" t="s">
        <v>54</v>
      </c>
      <c r="B3" s="57" t="s">
        <v>56</v>
      </c>
      <c r="C3" s="57" t="s">
        <v>72</v>
      </c>
      <c r="D3" s="57" t="s">
        <v>71</v>
      </c>
      <c r="E3" s="57" t="s">
        <v>73</v>
      </c>
      <c r="F3" s="57" t="s">
        <v>69</v>
      </c>
      <c r="G3" s="57" t="s">
        <v>55</v>
      </c>
    </row>
    <row r="4" spans="1:7">
      <c r="A4" s="1">
        <v>2024001</v>
      </c>
      <c r="B4" s="1" t="s">
        <v>57</v>
      </c>
      <c r="C4" s="1">
        <v>58</v>
      </c>
      <c r="D4" s="1">
        <v>24</v>
      </c>
      <c r="E4" s="1">
        <v>60</v>
      </c>
      <c r="F4" s="1">
        <v>6</v>
      </c>
      <c r="G4" s="1">
        <f>C4*0.4+D4+E4*0.6+F4</f>
        <v>89.2</v>
      </c>
    </row>
    <row r="5" spans="1:7">
      <c r="A5" s="1">
        <v>2024002</v>
      </c>
      <c r="B5" s="1" t="s">
        <v>58</v>
      </c>
      <c r="C5" s="1">
        <v>60</v>
      </c>
      <c r="D5" s="1">
        <v>26</v>
      </c>
      <c r="E5" s="1">
        <v>58</v>
      </c>
      <c r="F5" s="1">
        <v>8</v>
      </c>
      <c r="G5" s="1">
        <f t="shared" ref="G5:G15" si="0">C5*0.4+D5+E5*0.6+F5</f>
        <v>92.8</v>
      </c>
    </row>
    <row r="6" spans="1:7">
      <c r="A6" s="1">
        <v>2024003</v>
      </c>
      <c r="B6" s="1" t="s">
        <v>59</v>
      </c>
      <c r="C6" s="1">
        <v>34</v>
      </c>
      <c r="D6" s="1">
        <v>28</v>
      </c>
      <c r="E6" s="1">
        <v>52</v>
      </c>
      <c r="F6" s="1">
        <v>10</v>
      </c>
      <c r="G6" s="1">
        <f t="shared" si="0"/>
        <v>82.8</v>
      </c>
    </row>
    <row r="7" spans="1:7">
      <c r="A7" s="1">
        <v>2024004</v>
      </c>
      <c r="B7" s="1" t="s">
        <v>60</v>
      </c>
      <c r="C7" s="1">
        <v>56</v>
      </c>
      <c r="D7" s="1">
        <v>25</v>
      </c>
      <c r="E7" s="1">
        <v>54</v>
      </c>
      <c r="F7" s="1">
        <v>8</v>
      </c>
      <c r="G7" s="1">
        <f t="shared" si="0"/>
        <v>87.800000000000011</v>
      </c>
    </row>
    <row r="8" spans="1:7">
      <c r="A8" s="1">
        <v>2024005</v>
      </c>
      <c r="B8" s="1" t="s">
        <v>61</v>
      </c>
      <c r="C8" s="1">
        <v>56</v>
      </c>
      <c r="D8" s="1">
        <v>18</v>
      </c>
      <c r="E8" s="1">
        <v>56</v>
      </c>
      <c r="F8" s="1">
        <v>9</v>
      </c>
      <c r="G8" s="1">
        <f t="shared" si="0"/>
        <v>83</v>
      </c>
    </row>
    <row r="9" spans="1:7">
      <c r="A9" s="1">
        <v>2024006</v>
      </c>
      <c r="B9" s="1" t="s">
        <v>62</v>
      </c>
      <c r="C9" s="1">
        <v>48</v>
      </c>
      <c r="D9" s="1">
        <v>16</v>
      </c>
      <c r="E9" s="1">
        <v>30</v>
      </c>
      <c r="F9" s="1">
        <v>7</v>
      </c>
      <c r="G9" s="1">
        <f t="shared" si="0"/>
        <v>60.2</v>
      </c>
    </row>
    <row r="10" spans="1:7">
      <c r="A10" s="1">
        <v>2024007</v>
      </c>
      <c r="B10" s="1" t="s">
        <v>63</v>
      </c>
      <c r="C10" s="1">
        <v>52</v>
      </c>
      <c r="D10" s="1">
        <v>30</v>
      </c>
      <c r="E10" s="1">
        <v>58</v>
      </c>
      <c r="F10" s="1">
        <v>9</v>
      </c>
      <c r="G10" s="1">
        <f t="shared" si="0"/>
        <v>94.6</v>
      </c>
    </row>
    <row r="11" spans="1:7">
      <c r="A11" s="1">
        <v>2024008</v>
      </c>
      <c r="B11" s="1" t="s">
        <v>64</v>
      </c>
      <c r="C11" s="1">
        <v>51</v>
      </c>
      <c r="D11" s="1">
        <v>26</v>
      </c>
      <c r="E11" s="1">
        <v>57</v>
      </c>
      <c r="F11" s="1">
        <v>5</v>
      </c>
      <c r="G11" s="1">
        <f t="shared" si="0"/>
        <v>85.6</v>
      </c>
    </row>
    <row r="12" spans="1:7">
      <c r="A12" s="1">
        <v>2024009</v>
      </c>
      <c r="B12" s="1" t="s">
        <v>65</v>
      </c>
      <c r="C12" s="1">
        <v>38</v>
      </c>
      <c r="D12" s="1">
        <v>25</v>
      </c>
      <c r="E12" s="1">
        <v>60</v>
      </c>
      <c r="F12" s="1">
        <v>8</v>
      </c>
      <c r="G12" s="1">
        <f t="shared" si="0"/>
        <v>84.2</v>
      </c>
    </row>
    <row r="13" spans="1:7">
      <c r="A13" s="1">
        <v>2024010</v>
      </c>
      <c r="B13" s="1" t="s">
        <v>66</v>
      </c>
      <c r="C13" s="1">
        <v>57</v>
      </c>
      <c r="D13" s="1">
        <v>22</v>
      </c>
      <c r="E13" s="1">
        <v>57</v>
      </c>
      <c r="F13" s="1">
        <v>7</v>
      </c>
      <c r="G13" s="1">
        <f t="shared" si="0"/>
        <v>86</v>
      </c>
    </row>
    <row r="14" spans="1:7">
      <c r="A14" s="1">
        <v>2024011</v>
      </c>
      <c r="B14" s="1" t="s">
        <v>67</v>
      </c>
      <c r="C14" s="1">
        <v>36</v>
      </c>
      <c r="D14" s="1">
        <v>27</v>
      </c>
      <c r="E14" s="1">
        <v>38</v>
      </c>
      <c r="F14" s="1">
        <v>9</v>
      </c>
      <c r="G14" s="1">
        <f t="shared" si="0"/>
        <v>73.2</v>
      </c>
    </row>
    <row r="15" spans="1:7">
      <c r="A15" s="1">
        <v>2024012</v>
      </c>
      <c r="B15" s="1" t="s">
        <v>68</v>
      </c>
      <c r="C15" s="1">
        <v>50</v>
      </c>
      <c r="D15" s="1">
        <v>16</v>
      </c>
      <c r="E15" s="1">
        <v>48</v>
      </c>
      <c r="F15" s="1">
        <v>10</v>
      </c>
      <c r="G15" s="1">
        <f t="shared" si="0"/>
        <v>74.8</v>
      </c>
    </row>
  </sheetData>
  <mergeCells count="1">
    <mergeCell ref="A1:G1"/>
  </mergeCells>
  <phoneticPr fontId="1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3" name="Button 1">
              <controlPr defaultSize="0" print="0" autoFill="0" autoPict="0" macro="[0]!합계">
                <anchor moveWithCells="1" sizeWithCells="1">
                  <from>
                    <xdr:col>8</xdr:col>
                    <xdr:colOff>0</xdr:colOff>
                    <xdr:row>2</xdr:row>
                    <xdr:rowOff>7620</xdr:rowOff>
                  </from>
                  <to>
                    <xdr:col>10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dimension ref="A1:C8"/>
  <sheetViews>
    <sheetView tabSelected="1" topLeftCell="A6" workbookViewId="0">
      <selection activeCell="P20" sqref="P20"/>
    </sheetView>
  </sheetViews>
  <sheetFormatPr defaultRowHeight="17.399999999999999"/>
  <cols>
    <col min="1" max="1" width="10.3984375" bestFit="1" customWidth="1"/>
    <col min="2" max="3" width="10.59765625" bestFit="1" customWidth="1"/>
  </cols>
  <sheetData>
    <row r="1" spans="1:3">
      <c r="A1" t="s">
        <v>154</v>
      </c>
    </row>
    <row r="3" spans="1:3">
      <c r="A3" s="1" t="s">
        <v>0</v>
      </c>
      <c r="B3" s="1" t="s">
        <v>1</v>
      </c>
      <c r="C3" s="1" t="s">
        <v>2</v>
      </c>
    </row>
    <row r="4" spans="1:3">
      <c r="A4" s="1" t="s">
        <v>3</v>
      </c>
      <c r="B4" s="2">
        <v>2350000</v>
      </c>
      <c r="C4" s="2">
        <f>IF(B4&gt;=2000000,B4*85%,B4*90%)</f>
        <v>1997500</v>
      </c>
    </row>
    <row r="5" spans="1:3">
      <c r="A5" s="1" t="s">
        <v>4</v>
      </c>
      <c r="B5" s="2">
        <v>1300000</v>
      </c>
      <c r="C5" s="2">
        <v>1031300</v>
      </c>
    </row>
    <row r="6" spans="1:3">
      <c r="A6" s="1" t="s">
        <v>5</v>
      </c>
      <c r="B6" s="2">
        <v>1800000</v>
      </c>
      <c r="C6" s="2">
        <v>1475600</v>
      </c>
    </row>
    <row r="7" spans="1:3">
      <c r="A7" s="1" t="s">
        <v>6</v>
      </c>
      <c r="B7" s="2">
        <v>3540000</v>
      </c>
      <c r="C7" s="2">
        <f t="shared" ref="C7" si="0">IF(B7&gt;=2000000,B7*85%,B7*90%)</f>
        <v>3009000</v>
      </c>
    </row>
    <row r="8" spans="1:3">
      <c r="A8" s="1" t="s">
        <v>7</v>
      </c>
      <c r="B8" s="2">
        <v>2500000</v>
      </c>
      <c r="C8" s="2">
        <v>2181900</v>
      </c>
    </row>
  </sheetData>
  <phoneticPr fontId="1" type="noConversion"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8</vt:i4>
      </vt:variant>
    </vt:vector>
  </HeadingPairs>
  <TitlesOfParts>
    <vt:vector size="8" baseType="lpstr">
      <vt:lpstr>기본작업-1</vt:lpstr>
      <vt:lpstr>기본작업-2</vt:lpstr>
      <vt:lpstr>기본작업-3</vt:lpstr>
      <vt:lpstr>계산작업</vt:lpstr>
      <vt:lpstr>분석작업-1</vt:lpstr>
      <vt:lpstr>분석작업-2</vt:lpstr>
      <vt:lpstr>매크로작업</vt:lpstr>
      <vt:lpstr>차트작업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하정 최</cp:lastModifiedBy>
  <dcterms:created xsi:type="dcterms:W3CDTF">2021-09-01T10:05:05Z</dcterms:created>
  <dcterms:modified xsi:type="dcterms:W3CDTF">2024-07-22T11:10:54Z</dcterms:modified>
</cp:coreProperties>
</file>