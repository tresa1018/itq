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정답\"/>
    </mc:Choice>
  </mc:AlternateContent>
  <xr:revisionPtr revIDLastSave="0" documentId="13_ncr:1_{807971B0-C642-484B-854D-A62D708F07CF}" xr6:coauthVersionLast="47" xr6:coauthVersionMax="47" xr10:uidLastSave="{00000000-0000-0000-0000-000000000000}"/>
  <bookViews>
    <workbookView xWindow="3120" yWindow="3120" windowWidth="28800" windowHeight="11295" tabRatio="81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_xlnm._FilterDatabase" localSheetId="2" hidden="1">'기본작업-3'!$A$3:$H$16</definedName>
    <definedName name="_xlnm.Criteria" localSheetId="2">'기본작업-3'!$A$19:$B$21</definedName>
    <definedName name="_xlnm.Extract" localSheetId="2">'기본작업-3'!$A$24:$F$24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4" l="1"/>
  <c r="D4" i="4" a="1"/>
  <c r="D4" i="4" s="1"/>
  <c r="D5" i="4" a="1"/>
  <c r="D5" i="4" s="1"/>
  <c r="D6" i="4" a="1"/>
  <c r="D6" i="4" s="1"/>
  <c r="D7" i="4" a="1"/>
  <c r="D7" i="4" s="1"/>
  <c r="D8" i="4" a="1"/>
  <c r="D8" i="4" s="1"/>
  <c r="D9" i="4" a="1"/>
  <c r="D9" i="4" s="1"/>
  <c r="D10" i="4" a="1"/>
  <c r="D10" i="4"/>
  <c r="D11" i="4" a="1"/>
  <c r="D11" i="4" s="1"/>
  <c r="D12" i="4" a="1"/>
  <c r="D12" i="4" s="1"/>
  <c r="D3" i="4" a="1"/>
  <c r="D3" i="4" s="1"/>
  <c r="D38" i="4"/>
  <c r="D37" i="4"/>
  <c r="D36" i="4"/>
  <c r="D35" i="4"/>
  <c r="D34" i="4"/>
  <c r="D33" i="4"/>
  <c r="D32" i="4"/>
  <c r="D31" i="4"/>
  <c r="K23" i="4"/>
  <c r="E23" i="4"/>
  <c r="K22" i="4"/>
  <c r="E22" i="4"/>
  <c r="K21" i="4"/>
  <c r="E21" i="4"/>
  <c r="K20" i="4"/>
  <c r="E20" i="4"/>
  <c r="K19" i="4"/>
  <c r="E19" i="4"/>
  <c r="K18" i="4"/>
  <c r="E18" i="4"/>
  <c r="K17" i="4"/>
  <c r="E17" i="4"/>
  <c r="K16" i="4"/>
  <c r="E16" i="4"/>
  <c r="B11" i="5" l="1"/>
  <c r="B1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<sst xmlns="http://schemas.openxmlformats.org/spreadsheetml/2006/main" count="389" uniqueCount="291">
  <si>
    <t>이름</t>
    <phoneticPr fontId="1" type="noConversion"/>
  </si>
  <si>
    <t>학과</t>
    <phoneticPr fontId="1" type="noConversion"/>
  </si>
  <si>
    <t>과제</t>
    <phoneticPr fontId="1" type="noConversion"/>
  </si>
  <si>
    <t>출석</t>
    <phoneticPr fontId="1" type="noConversion"/>
  </si>
  <si>
    <t>중간</t>
    <phoneticPr fontId="1" type="noConversion"/>
  </si>
  <si>
    <t>중간</t>
    <phoneticPr fontId="1" type="noConversion"/>
  </si>
  <si>
    <t>기말</t>
    <phoneticPr fontId="1" type="noConversion"/>
  </si>
  <si>
    <t>총점</t>
    <phoneticPr fontId="1" type="noConversion"/>
  </si>
  <si>
    <t>이현정</t>
    <phoneticPr fontId="1" type="noConversion"/>
  </si>
  <si>
    <t>컴퓨터공학과</t>
    <phoneticPr fontId="1" type="noConversion"/>
  </si>
  <si>
    <t>송수정</t>
    <phoneticPr fontId="1" type="noConversion"/>
  </si>
  <si>
    <t>컴퓨터공학과</t>
    <phoneticPr fontId="1" type="noConversion"/>
  </si>
  <si>
    <t>문병용</t>
    <phoneticPr fontId="1" type="noConversion"/>
  </si>
  <si>
    <t>컴퓨터공학과</t>
    <phoneticPr fontId="1" type="noConversion"/>
  </si>
  <si>
    <t>김혜영</t>
    <phoneticPr fontId="1" type="noConversion"/>
  </si>
  <si>
    <t>이문성</t>
    <phoneticPr fontId="1" type="noConversion"/>
  </si>
  <si>
    <t>전자공학과</t>
    <phoneticPr fontId="1" type="noConversion"/>
  </si>
  <si>
    <t>우용표</t>
    <phoneticPr fontId="1" type="noConversion"/>
  </si>
  <si>
    <t>전자공학과</t>
    <phoneticPr fontId="1" type="noConversion"/>
  </si>
  <si>
    <t>김후영</t>
    <phoneticPr fontId="1" type="noConversion"/>
  </si>
  <si>
    <t>김민국</t>
    <phoneticPr fontId="1" type="noConversion"/>
  </si>
  <si>
    <t>[표1]</t>
    <phoneticPr fontId="1" type="noConversion"/>
  </si>
  <si>
    <t>평점</t>
    <phoneticPr fontId="1" type="noConversion"/>
  </si>
  <si>
    <t>과목ID</t>
  </si>
  <si>
    <t>이름</t>
  </si>
  <si>
    <t>학과</t>
  </si>
  <si>
    <t>과제</t>
  </si>
  <si>
    <t>출석</t>
  </si>
  <si>
    <t>중간</t>
  </si>
  <si>
    <t>기말</t>
  </si>
  <si>
    <t>총점</t>
  </si>
  <si>
    <t>R003</t>
  </si>
  <si>
    <t>이현정</t>
  </si>
  <si>
    <t>컴퓨터공학과</t>
  </si>
  <si>
    <t>S002</t>
  </si>
  <si>
    <t>송수정</t>
  </si>
  <si>
    <t>R004</t>
  </si>
  <si>
    <t>문병용</t>
  </si>
  <si>
    <t>R007</t>
  </si>
  <si>
    <t>김혜영</t>
  </si>
  <si>
    <t>R008</t>
  </si>
  <si>
    <t>이문성</t>
  </si>
  <si>
    <t>전자공학과</t>
  </si>
  <si>
    <t>P005</t>
  </si>
  <si>
    <t>우용표</t>
  </si>
  <si>
    <t>S003</t>
  </si>
  <si>
    <t>김후영</t>
  </si>
  <si>
    <t>P002</t>
  </si>
  <si>
    <t>김민국</t>
  </si>
  <si>
    <t>S004</t>
  </si>
  <si>
    <t>최신국</t>
  </si>
  <si>
    <t>P006</t>
  </si>
  <si>
    <t>박억남</t>
  </si>
  <si>
    <t>P008</t>
  </si>
  <si>
    <t>조민정</t>
  </si>
  <si>
    <t>이재건</t>
  </si>
  <si>
    <t>서승범</t>
  </si>
  <si>
    <t>[표1] 국제 도서 전시회 (International Book Fair) 나라별 참가 업체수</t>
    <phoneticPr fontId="1" type="noConversion"/>
  </si>
  <si>
    <t>단위 : 사</t>
    <phoneticPr fontId="1" type="noConversion"/>
  </si>
  <si>
    <t>지역</t>
    <phoneticPr fontId="1" type="noConversion"/>
  </si>
  <si>
    <t>국가명</t>
    <phoneticPr fontId="1" type="noConversion"/>
  </si>
  <si>
    <t>아메리카</t>
    <phoneticPr fontId="1" type="noConversion"/>
  </si>
  <si>
    <t>캐나다</t>
    <phoneticPr fontId="1" type="noConversion"/>
  </si>
  <si>
    <t>-</t>
    <phoneticPr fontId="1" type="noConversion"/>
  </si>
  <si>
    <t>아시아</t>
    <phoneticPr fontId="1" type="noConversion"/>
  </si>
  <si>
    <t>중국</t>
    <phoneticPr fontId="1" type="noConversion"/>
  </si>
  <si>
    <t>유럽</t>
    <phoneticPr fontId="1" type="noConversion"/>
  </si>
  <si>
    <t>독일</t>
    <phoneticPr fontId="1" type="noConversion"/>
  </si>
  <si>
    <t>아메리카</t>
    <phoneticPr fontId="1" type="noConversion"/>
  </si>
  <si>
    <t>미국</t>
    <phoneticPr fontId="1" type="noConversion"/>
  </si>
  <si>
    <t>유럽</t>
    <phoneticPr fontId="1" type="noConversion"/>
  </si>
  <si>
    <t>영국</t>
    <phoneticPr fontId="1" type="noConversion"/>
  </si>
  <si>
    <t>오세아니아</t>
    <phoneticPr fontId="1" type="noConversion"/>
  </si>
  <si>
    <t>뉴질랜드</t>
    <phoneticPr fontId="1" type="noConversion"/>
  </si>
  <si>
    <t>대한민국</t>
    <phoneticPr fontId="1" type="noConversion"/>
  </si>
  <si>
    <t>호주</t>
    <phoneticPr fontId="1" type="noConversion"/>
  </si>
  <si>
    <t>브라질</t>
    <phoneticPr fontId="1" type="noConversion"/>
  </si>
  <si>
    <t>아시아</t>
    <phoneticPr fontId="1" type="noConversion"/>
  </si>
  <si>
    <t>일본</t>
    <phoneticPr fontId="1" type="noConversion"/>
  </si>
  <si>
    <t>프랑스</t>
    <phoneticPr fontId="1" type="noConversion"/>
  </si>
  <si>
    <t>인기 게임</t>
    <phoneticPr fontId="1" type="noConversion"/>
  </si>
  <si>
    <t>게임명</t>
    <phoneticPr fontId="1" type="noConversion"/>
  </si>
  <si>
    <t>게임회사</t>
    <phoneticPr fontId="1" type="noConversion"/>
  </si>
  <si>
    <t>게임 분류</t>
    <phoneticPr fontId="1" type="noConversion"/>
  </si>
  <si>
    <t>출시연도</t>
    <phoneticPr fontId="1" type="noConversion"/>
  </si>
  <si>
    <t>게임사</t>
    <phoneticPr fontId="1" type="noConversion"/>
  </si>
  <si>
    <t>코노스바 모바일-판타스틱 데이즈</t>
    <phoneticPr fontId="1" type="noConversion"/>
  </si>
  <si>
    <t>NEXON Company</t>
    <phoneticPr fontId="1" type="noConversion"/>
  </si>
  <si>
    <t>시뮬레이션</t>
    <phoneticPr fontId="1" type="noConversion"/>
  </si>
  <si>
    <t>시뮬레이션</t>
    <phoneticPr fontId="1" type="noConversion"/>
  </si>
  <si>
    <t>21.8.25</t>
    <phoneticPr fontId="1" type="noConversion"/>
  </si>
  <si>
    <t>국내</t>
    <phoneticPr fontId="1" type="noConversion"/>
  </si>
  <si>
    <t>국내</t>
    <phoneticPr fontId="1" type="noConversion"/>
  </si>
  <si>
    <t>Fidget Toys Trading: 팝잇 말랑이 거래 게임</t>
    <phoneticPr fontId="1" type="noConversion"/>
  </si>
  <si>
    <t>Freeplay Inc</t>
    <phoneticPr fontId="1" type="noConversion"/>
  </si>
  <si>
    <t>아케이드</t>
    <phoneticPr fontId="1" type="noConversion"/>
  </si>
  <si>
    <t>21.8.9</t>
    <phoneticPr fontId="1" type="noConversion"/>
  </si>
  <si>
    <t>해외</t>
    <phoneticPr fontId="1" type="noConversion"/>
  </si>
  <si>
    <t>ROBLOX</t>
    <phoneticPr fontId="1" type="noConversion"/>
  </si>
  <si>
    <t>Roblox Corporation</t>
    <phoneticPr fontId="1" type="noConversion"/>
  </si>
  <si>
    <t>시뮬레이션</t>
    <phoneticPr fontId="1" type="noConversion"/>
  </si>
  <si>
    <t>14.7.16</t>
    <phoneticPr fontId="1" type="noConversion"/>
  </si>
  <si>
    <t>해외</t>
    <phoneticPr fontId="1" type="noConversion"/>
  </si>
  <si>
    <t>무한의 계단</t>
    <phoneticPr fontId="1" type="noConversion"/>
  </si>
  <si>
    <t>NFLY STUDIO</t>
    <phoneticPr fontId="1" type="noConversion"/>
  </si>
  <si>
    <t>15.1.16</t>
    <phoneticPr fontId="1" type="noConversion"/>
  </si>
  <si>
    <t>배틀그라운드</t>
    <phoneticPr fontId="1" type="noConversion"/>
  </si>
  <si>
    <t>KRAFTON, Inc.</t>
    <phoneticPr fontId="1" type="noConversion"/>
  </si>
  <si>
    <t>슈팅</t>
    <phoneticPr fontId="1" type="noConversion"/>
  </si>
  <si>
    <t>슈팅</t>
    <phoneticPr fontId="1" type="noConversion"/>
  </si>
  <si>
    <t>18.5.15</t>
    <phoneticPr fontId="1" type="noConversion"/>
  </si>
  <si>
    <t>브롤스타즈</t>
    <phoneticPr fontId="1" type="noConversion"/>
  </si>
  <si>
    <t>Supercell</t>
    <phoneticPr fontId="1" type="noConversion"/>
  </si>
  <si>
    <t>18.12.12</t>
    <phoneticPr fontId="1" type="noConversion"/>
  </si>
  <si>
    <t>뇌 수수께끼 - 속임수 퍼즐</t>
    <phoneticPr fontId="1" type="noConversion"/>
  </si>
  <si>
    <t>Azura Global</t>
    <phoneticPr fontId="1" type="noConversion"/>
  </si>
  <si>
    <t>21.6.19</t>
    <phoneticPr fontId="1" type="noConversion"/>
  </si>
  <si>
    <t>MARBEL 퓨처파이트</t>
    <phoneticPr fontId="1" type="noConversion"/>
  </si>
  <si>
    <t>Netmarble</t>
    <phoneticPr fontId="1" type="noConversion"/>
  </si>
  <si>
    <t>15.4.29</t>
    <phoneticPr fontId="1" type="noConversion"/>
  </si>
  <si>
    <t>검은사막 모바일</t>
    <phoneticPr fontId="1" type="noConversion"/>
  </si>
  <si>
    <t>PEARL ABYSS</t>
    <phoneticPr fontId="1" type="noConversion"/>
  </si>
  <si>
    <t>18.2.27</t>
    <phoneticPr fontId="1" type="noConversion"/>
  </si>
  <si>
    <t>Hero Tower Wars - Merge Puzzle</t>
    <phoneticPr fontId="1" type="noConversion"/>
  </si>
  <si>
    <t>GAMEE</t>
    <phoneticPr fontId="1" type="noConversion"/>
  </si>
  <si>
    <t>아케이드</t>
    <phoneticPr fontId="1" type="noConversion"/>
  </si>
  <si>
    <t>21.5.29</t>
    <phoneticPr fontId="1" type="noConversion"/>
  </si>
  <si>
    <t>건물명</t>
  </si>
  <si>
    <t>주요 용도</t>
    <phoneticPr fontId="1" type="noConversion"/>
  </si>
  <si>
    <t>높이</t>
    <phoneticPr fontId="1" type="noConversion"/>
  </si>
  <si>
    <t>층수</t>
  </si>
  <si>
    <t>상하이 타워</t>
  </si>
  <si>
    <t>사무/관광</t>
  </si>
  <si>
    <t>핑안 국제금융센터</t>
  </si>
  <si>
    <t>사무/호텔</t>
  </si>
  <si>
    <t>롯데월드타워</t>
  </si>
  <si>
    <t>사무/호텔/주거</t>
  </si>
  <si>
    <t>아브라즈 알 바이트</t>
  </si>
  <si>
    <t>타이베이 101</t>
  </si>
  <si>
    <t>지역</t>
    <phoneticPr fontId="1" type="noConversion"/>
  </si>
  <si>
    <t>동아시아</t>
    <phoneticPr fontId="1" type="noConversion"/>
  </si>
  <si>
    <t>서아시아</t>
    <phoneticPr fontId="1" type="noConversion"/>
  </si>
  <si>
    <t>미주</t>
    <phoneticPr fontId="1" type="noConversion"/>
  </si>
  <si>
    <t>아랍에미리트</t>
    <phoneticPr fontId="1" type="noConversion"/>
  </si>
  <si>
    <t>CTF 빌딩(세계금융센터)</t>
    <phoneticPr fontId="1" type="noConversion"/>
  </si>
  <si>
    <t>제1 세계무역센터(1WTC)</t>
    <phoneticPr fontId="1" type="noConversion"/>
  </si>
  <si>
    <t>사무/호텔</t>
    <phoneticPr fontId="1" type="noConversion"/>
  </si>
  <si>
    <t>두바이</t>
    <phoneticPr fontId="1" type="noConversion"/>
  </si>
  <si>
    <t>상하이</t>
    <phoneticPr fontId="1" type="noConversion"/>
  </si>
  <si>
    <t>사우디아라비아</t>
    <phoneticPr fontId="1" type="noConversion"/>
  </si>
  <si>
    <t>메카</t>
    <phoneticPr fontId="1" type="noConversion"/>
  </si>
  <si>
    <t>선전</t>
    <phoneticPr fontId="1" type="noConversion"/>
  </si>
  <si>
    <t>대한민국</t>
    <phoneticPr fontId="1" type="noConversion"/>
  </si>
  <si>
    <t>서울</t>
    <phoneticPr fontId="1" type="noConversion"/>
  </si>
  <si>
    <t>타이베이</t>
    <phoneticPr fontId="1" type="noConversion"/>
  </si>
  <si>
    <t>미국</t>
    <phoneticPr fontId="1" type="noConversion"/>
  </si>
  <si>
    <t>뉴욕</t>
    <phoneticPr fontId="1" type="noConversion"/>
  </si>
  <si>
    <t>광저우</t>
    <phoneticPr fontId="1" type="noConversion"/>
  </si>
  <si>
    <t>차이나 존</t>
    <phoneticPr fontId="1" type="noConversion"/>
  </si>
  <si>
    <t>텐진</t>
    <phoneticPr fontId="1" type="noConversion"/>
  </si>
  <si>
    <t>베이징</t>
    <phoneticPr fontId="1" type="noConversion"/>
  </si>
  <si>
    <t>완공</t>
    <phoneticPr fontId="1" type="noConversion"/>
  </si>
  <si>
    <t>부르즈 칼리파</t>
    <phoneticPr fontId="1" type="noConversion"/>
  </si>
  <si>
    <t>♠세계 초고층 빌딩 현황♠</t>
    <phoneticPr fontId="1" type="noConversion"/>
  </si>
  <si>
    <t>국가</t>
    <phoneticPr fontId="1" type="noConversion"/>
  </si>
  <si>
    <t>도시</t>
    <phoneticPr fontId="1" type="noConversion"/>
  </si>
  <si>
    <t>중국</t>
    <phoneticPr fontId="1" type="noConversion"/>
  </si>
  <si>
    <t>대만</t>
    <phoneticPr fontId="1" type="noConversion"/>
  </si>
  <si>
    <t>1학기 평가</t>
    <phoneticPr fontId="1" type="noConversion"/>
  </si>
  <si>
    <t>R*</t>
    <phoneticPr fontId="1" type="noConversion"/>
  </si>
  <si>
    <t>P*</t>
    <phoneticPr fontId="1" type="noConversion"/>
  </si>
  <si>
    <t>총점</t>
    <phoneticPr fontId="1" type="noConversion"/>
  </si>
  <si>
    <t>&gt;=75</t>
    <phoneticPr fontId="1" type="noConversion"/>
  </si>
  <si>
    <t>수행평가</t>
    <phoneticPr fontId="1" type="noConversion"/>
  </si>
  <si>
    <t>[표2] 1학기 평가</t>
    <phoneticPr fontId="1" type="noConversion"/>
  </si>
  <si>
    <t>지식 서비스 공과대학</t>
    <phoneticPr fontId="1" type="noConversion"/>
  </si>
  <si>
    <t xml:space="preserve">[표4] </t>
  </si>
  <si>
    <t>정보인증</t>
  </si>
  <si>
    <t>국제인증</t>
  </si>
  <si>
    <t>전공인증</t>
  </si>
  <si>
    <t>융합보안공학과</t>
    <phoneticPr fontId="1" type="noConversion"/>
  </si>
  <si>
    <t>정보시스템공학과</t>
    <phoneticPr fontId="1" type="noConversion"/>
  </si>
  <si>
    <t>바이오식품공학과</t>
    <phoneticPr fontId="1" type="noConversion"/>
  </si>
  <si>
    <t>융합보안공학과</t>
  </si>
  <si>
    <t>정보시스템공학과</t>
  </si>
  <si>
    <t>바이오식품공학과</t>
  </si>
  <si>
    <t>[표4]</t>
  </si>
  <si>
    <t>입고량</t>
  </si>
  <si>
    <t>판매량</t>
  </si>
  <si>
    <t>판매금액</t>
  </si>
  <si>
    <t>대여일</t>
  </si>
  <si>
    <t>반납일</t>
  </si>
  <si>
    <t>A</t>
  </si>
  <si>
    <t>B</t>
  </si>
  <si>
    <t>C</t>
  </si>
  <si>
    <t>D</t>
  </si>
  <si>
    <t>[표1]</t>
    <phoneticPr fontId="1" type="noConversion"/>
  </si>
  <si>
    <t>음료판매현황</t>
    <phoneticPr fontId="1" type="noConversion"/>
  </si>
  <si>
    <t>[표2]</t>
    <phoneticPr fontId="1" type="noConversion"/>
  </si>
  <si>
    <t>고객별 구매현황</t>
    <phoneticPr fontId="1" type="noConversion"/>
  </si>
  <si>
    <t>판매코드</t>
    <phoneticPr fontId="1" type="noConversion"/>
  </si>
  <si>
    <t>구분</t>
    <phoneticPr fontId="1" type="noConversion"/>
  </si>
  <si>
    <t>판매량</t>
    <phoneticPr fontId="1" type="noConversion"/>
  </si>
  <si>
    <t>분류</t>
    <phoneticPr fontId="1" type="noConversion"/>
  </si>
  <si>
    <t>고객명</t>
    <phoneticPr fontId="1" type="noConversion"/>
  </si>
  <si>
    <t>성별</t>
    <phoneticPr fontId="1" type="noConversion"/>
  </si>
  <si>
    <t>포인트등급</t>
    <phoneticPr fontId="1" type="noConversion"/>
  </si>
  <si>
    <t>구매수량</t>
    <phoneticPr fontId="1" type="noConversion"/>
  </si>
  <si>
    <t>구매총액</t>
    <phoneticPr fontId="1" type="noConversion"/>
  </si>
  <si>
    <t>CAFE01C</t>
    <phoneticPr fontId="1" type="noConversion"/>
  </si>
  <si>
    <t>구현서</t>
  </si>
  <si>
    <t>여</t>
    <phoneticPr fontId="1" type="noConversion"/>
  </si>
  <si>
    <t>일반</t>
    <phoneticPr fontId="1" type="noConversion"/>
  </si>
  <si>
    <t>CAFE03E</t>
    <phoneticPr fontId="1" type="noConversion"/>
  </si>
  <si>
    <t>김경화</t>
  </si>
  <si>
    <t>실버</t>
    <phoneticPr fontId="1" type="noConversion"/>
  </si>
  <si>
    <t>CAFE04G</t>
    <phoneticPr fontId="1" type="noConversion"/>
  </si>
  <si>
    <t>녹차</t>
    <phoneticPr fontId="1" type="noConversion"/>
  </si>
  <si>
    <t>최준기</t>
  </si>
  <si>
    <t>남</t>
    <phoneticPr fontId="1" type="noConversion"/>
  </si>
  <si>
    <t>골드</t>
    <phoneticPr fontId="1" type="noConversion"/>
  </si>
  <si>
    <t>CAFE02H</t>
    <phoneticPr fontId="1" type="noConversion"/>
  </si>
  <si>
    <t>HOT</t>
    <phoneticPr fontId="1" type="noConversion"/>
  </si>
  <si>
    <t>유근선</t>
  </si>
  <si>
    <t>CAFE05C</t>
    <phoneticPr fontId="1" type="noConversion"/>
  </si>
  <si>
    <t>핫초코</t>
    <phoneticPr fontId="1" type="noConversion"/>
  </si>
  <si>
    <t>김은혜</t>
  </si>
  <si>
    <t>실버</t>
    <phoneticPr fontId="1" type="noConversion"/>
  </si>
  <si>
    <t>CAFE01H</t>
    <phoneticPr fontId="1" type="noConversion"/>
  </si>
  <si>
    <t>허윤기</t>
  </si>
  <si>
    <t>CAFE05K</t>
    <phoneticPr fontId="1" type="noConversion"/>
  </si>
  <si>
    <t>키위주스</t>
    <phoneticPr fontId="1" type="noConversion"/>
  </si>
  <si>
    <t>이서현</t>
    <phoneticPr fontId="1" type="noConversion"/>
  </si>
  <si>
    <t>CAFE03C</t>
    <phoneticPr fontId="1" type="noConversion"/>
  </si>
  <si>
    <t>ICE</t>
    <phoneticPr fontId="1" type="noConversion"/>
  </si>
  <si>
    <t>CAFE02C</t>
    <phoneticPr fontId="1" type="noConversion"/>
  </si>
  <si>
    <t>CAFE04R</t>
    <phoneticPr fontId="1" type="noConversion"/>
  </si>
  <si>
    <t>홍차</t>
    <phoneticPr fontId="1" type="noConversion"/>
  </si>
  <si>
    <t xml:space="preserve">[표3] </t>
    <phoneticPr fontId="1" type="noConversion"/>
  </si>
  <si>
    <t>굿즈상품 판매현황</t>
    <phoneticPr fontId="1" type="noConversion"/>
  </si>
  <si>
    <t>임대폰 대여현황</t>
    <phoneticPr fontId="1" type="noConversion"/>
  </si>
  <si>
    <t>상품명</t>
    <phoneticPr fontId="1" type="noConversion"/>
  </si>
  <si>
    <t>상품코드</t>
    <phoneticPr fontId="1" type="noConversion"/>
  </si>
  <si>
    <t>임대폰코드</t>
    <phoneticPr fontId="1" type="noConversion"/>
  </si>
  <si>
    <t>1일임대요금</t>
    <phoneticPr fontId="1" type="noConversion"/>
  </si>
  <si>
    <t>총임대요금</t>
    <phoneticPr fontId="1" type="noConversion"/>
  </si>
  <si>
    <t>텀블러</t>
    <phoneticPr fontId="1" type="noConversion"/>
  </si>
  <si>
    <t>GS10-A</t>
    <phoneticPr fontId="1" type="noConversion"/>
  </si>
  <si>
    <t>V-4G-01</t>
    <phoneticPr fontId="1" type="noConversion"/>
  </si>
  <si>
    <t>머그컵</t>
    <phoneticPr fontId="1" type="noConversion"/>
  </si>
  <si>
    <t>GS10-B</t>
    <phoneticPr fontId="1" type="noConversion"/>
  </si>
  <si>
    <t>V-4G-02</t>
    <phoneticPr fontId="1" type="noConversion"/>
  </si>
  <si>
    <t>캐리어</t>
    <phoneticPr fontId="1" type="noConversion"/>
  </si>
  <si>
    <t>GS10-C</t>
    <phoneticPr fontId="1" type="noConversion"/>
  </si>
  <si>
    <t>S-4G-01</t>
    <phoneticPr fontId="1" type="noConversion"/>
  </si>
  <si>
    <t>찻잔세트</t>
    <phoneticPr fontId="1" type="noConversion"/>
  </si>
  <si>
    <t>GS10-D</t>
    <phoneticPr fontId="1" type="noConversion"/>
  </si>
  <si>
    <t>S-4G-02</t>
    <phoneticPr fontId="1" type="noConversion"/>
  </si>
  <si>
    <t>GS20-B</t>
    <phoneticPr fontId="1" type="noConversion"/>
  </si>
  <si>
    <t>G-5G-11</t>
    <phoneticPr fontId="1" type="noConversion"/>
  </si>
  <si>
    <t>GS20-D</t>
    <phoneticPr fontId="1" type="noConversion"/>
  </si>
  <si>
    <t>G-5G-12</t>
    <phoneticPr fontId="1" type="noConversion"/>
  </si>
  <si>
    <t>텀블러</t>
    <phoneticPr fontId="1" type="noConversion"/>
  </si>
  <si>
    <t>GS20-A</t>
    <phoneticPr fontId="1" type="noConversion"/>
  </si>
  <si>
    <t>S-5G-11</t>
    <phoneticPr fontId="1" type="noConversion"/>
  </si>
  <si>
    <t>캐리어</t>
    <phoneticPr fontId="1" type="noConversion"/>
  </si>
  <si>
    <t>GS20-C</t>
    <phoneticPr fontId="1" type="noConversion"/>
  </si>
  <si>
    <t>S-5G-12</t>
    <phoneticPr fontId="1" type="noConversion"/>
  </si>
  <si>
    <t>&lt;상품단가표&gt;</t>
    <phoneticPr fontId="1" type="noConversion"/>
  </si>
  <si>
    <t>상품기호</t>
    <phoneticPr fontId="1" type="noConversion"/>
  </si>
  <si>
    <t>판매단가</t>
    <phoneticPr fontId="1" type="noConversion"/>
  </si>
  <si>
    <t>[표5]</t>
    <phoneticPr fontId="1" type="noConversion"/>
  </si>
  <si>
    <t>건강검진결과</t>
    <phoneticPr fontId="1" type="noConversion"/>
  </si>
  <si>
    <t>성명</t>
    <phoneticPr fontId="1" type="noConversion"/>
  </si>
  <si>
    <t>신장(m)</t>
    <phoneticPr fontId="1" type="noConversion"/>
  </si>
  <si>
    <t>체중(kg)</t>
    <phoneticPr fontId="1" type="noConversion"/>
  </si>
  <si>
    <t>체질량지수(BMI)</t>
    <phoneticPr fontId="1" type="noConversion"/>
  </si>
  <si>
    <t>최은*</t>
    <phoneticPr fontId="1" type="noConversion"/>
  </si>
  <si>
    <t>김성*</t>
    <phoneticPr fontId="1" type="noConversion"/>
  </si>
  <si>
    <t>김진*</t>
    <phoneticPr fontId="1" type="noConversion"/>
  </si>
  <si>
    <t>이진*</t>
    <phoneticPr fontId="1" type="noConversion"/>
  </si>
  <si>
    <t>진성*</t>
    <phoneticPr fontId="1" type="noConversion"/>
  </si>
  <si>
    <t>이민*</t>
    <phoneticPr fontId="1" type="noConversion"/>
  </si>
  <si>
    <t>김철*</t>
    <phoneticPr fontId="1" type="noConversion"/>
  </si>
  <si>
    <t>박사*</t>
    <phoneticPr fontId="1" type="noConversion"/>
  </si>
  <si>
    <t>HOT</t>
    <phoneticPr fontId="1" type="noConversion"/>
  </si>
  <si>
    <t>ICE</t>
    <phoneticPr fontId="1" type="noConversion"/>
  </si>
  <si>
    <t>[표1] 2022년</t>
    <phoneticPr fontId="1" type="noConversion"/>
  </si>
  <si>
    <t>[표2] 2023년</t>
    <phoneticPr fontId="1" type="noConversion"/>
  </si>
  <si>
    <t>[표3] 2024년</t>
    <phoneticPr fontId="1" type="noConversion"/>
  </si>
  <si>
    <t>구매빈도 높은 고객들의 구매총액 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</si>
</sst>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[&gt;0]0.0;;;&quot;※&quot;"/>
    <numFmt numFmtId="177" formatCode="0_);[Red]\(0\)"/>
    <numFmt numFmtId="178" formatCode="0.0&quot;m&quot;"/>
    <numFmt numFmtId="179" formatCode="0&quot;년&quot;"/>
    <numFmt numFmtId="180" formatCode="mm&quot;월&quot;\ dd&quot;일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b/>
      <i/>
      <sz val="20"/>
      <color theme="1"/>
      <name val="굴림체"/>
      <family val="3"/>
      <charset val="129"/>
    </font>
    <font>
      <b/>
      <sz val="1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5" fillId="3" borderId="0" applyNumberFormat="0" applyBorder="0" applyAlignment="0" applyProtection="0">
      <alignment vertical="center"/>
    </xf>
    <xf numFmtId="0" fontId="4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0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Protection="1">
      <alignment vertical="center"/>
      <protection hidden="1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2" fillId="0" borderId="0" xfId="2">
      <alignment vertical="center"/>
    </xf>
    <xf numFmtId="0" fontId="0" fillId="0" borderId="0" xfId="2" applyFont="1">
      <alignment vertical="center"/>
    </xf>
    <xf numFmtId="0" fontId="5" fillId="3" borderId="1" xfId="4" applyBorder="1" applyAlignment="1">
      <alignment horizontal="center" vertical="center"/>
    </xf>
    <xf numFmtId="0" fontId="5" fillId="3" borderId="1" xfId="4" applyNumberFormat="1" applyBorder="1" applyAlignment="1">
      <alignment horizontal="center" vertical="center"/>
    </xf>
    <xf numFmtId="0" fontId="5" fillId="3" borderId="1" xfId="4" applyNumberFormat="1" applyBorder="1" applyAlignment="1">
      <alignment horizontal="center" vertical="center" wrapText="1"/>
    </xf>
    <xf numFmtId="0" fontId="3" fillId="0" borderId="1" xfId="3" applyNumberFormat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178" fontId="3" fillId="0" borderId="1" xfId="1" applyNumberFormat="1" applyFont="1" applyFill="1" applyBorder="1" applyAlignment="1">
      <alignment vertical="center"/>
    </xf>
    <xf numFmtId="177" fontId="3" fillId="0" borderId="1" xfId="1" applyNumberFormat="1" applyFont="1" applyFill="1" applyBorder="1" applyAlignment="1">
      <alignment vertical="center"/>
    </xf>
    <xf numFmtId="179" fontId="3" fillId="0" borderId="1" xfId="1" applyNumberFormat="1" applyFont="1" applyFill="1" applyBorder="1" applyAlignment="1">
      <alignment vertical="center"/>
    </xf>
    <xf numFmtId="0" fontId="7" fillId="0" borderId="0" xfId="5" applyFont="1" applyBorder="1" applyAlignment="1"/>
    <xf numFmtId="41" fontId="7" fillId="0" borderId="0" xfId="6" applyFont="1" applyBorder="1" applyAlignment="1"/>
    <xf numFmtId="0" fontId="3" fillId="0" borderId="0" xfId="5" applyFont="1">
      <alignment vertical="center"/>
    </xf>
    <xf numFmtId="41" fontId="3" fillId="0" borderId="0" xfId="6" applyFont="1">
      <alignment vertical="center"/>
    </xf>
    <xf numFmtId="0" fontId="3" fillId="0" borderId="0" xfId="5" applyFont="1" applyAlignment="1">
      <alignment horizontal="right" vertical="center"/>
    </xf>
    <xf numFmtId="0" fontId="8" fillId="0" borderId="1" xfId="0" applyFont="1" applyBorder="1" applyAlignment="1">
      <alignment horizontal="center" vertical="center"/>
    </xf>
    <xf numFmtId="41" fontId="8" fillId="0" borderId="1" xfId="6" applyFont="1" applyBorder="1" applyAlignment="1">
      <alignment horizontal="center" vertical="center"/>
    </xf>
    <xf numFmtId="41" fontId="0" fillId="0" borderId="1" xfId="6" applyFont="1" applyBorder="1">
      <alignment vertical="center"/>
    </xf>
    <xf numFmtId="41" fontId="0" fillId="0" borderId="1" xfId="6" applyNumberFormat="1" applyFont="1" applyBorder="1">
      <alignment vertical="center"/>
    </xf>
    <xf numFmtId="176" fontId="0" fillId="0" borderId="1" xfId="1" applyNumberFormat="1" applyFont="1" applyBorder="1" applyAlignment="1">
      <alignment horizontal="right" vertical="center"/>
    </xf>
    <xf numFmtId="0" fontId="5" fillId="4" borderId="1" xfId="7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0" xfId="2" applyFont="1">
      <alignment vertical="center"/>
    </xf>
    <xf numFmtId="0" fontId="8" fillId="0" borderId="0" xfId="8" applyFont="1">
      <alignment vertical="center"/>
    </xf>
    <xf numFmtId="0" fontId="3" fillId="0" borderId="1" xfId="10" applyFont="1" applyFill="1" applyBorder="1" applyAlignment="1">
      <alignment horizontal="center" vertical="center" shrinkToFit="1"/>
    </xf>
    <xf numFmtId="0" fontId="8" fillId="0" borderId="0" xfId="0" applyFont="1">
      <alignment vertical="center"/>
    </xf>
    <xf numFmtId="0" fontId="2" fillId="0" borderId="0" xfId="2" applyFont="1">
      <alignment vertical="center"/>
    </xf>
    <xf numFmtId="0" fontId="11" fillId="0" borderId="0" xfId="8" applyFont="1">
      <alignment vertical="center"/>
    </xf>
    <xf numFmtId="0" fontId="11" fillId="0" borderId="0" xfId="0" applyFont="1">
      <alignment vertical="center"/>
    </xf>
    <xf numFmtId="0" fontId="11" fillId="0" borderId="0" xfId="2" applyFont="1">
      <alignment vertical="center"/>
    </xf>
    <xf numFmtId="0" fontId="11" fillId="0" borderId="1" xfId="2" applyFont="1" applyFill="1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0" fontId="11" fillId="2" borderId="1" xfId="2" applyFont="1" applyFill="1" applyBorder="1" applyAlignment="1">
      <alignment horizontal="center" vertical="center"/>
    </xf>
    <xf numFmtId="0" fontId="11" fillId="0" borderId="1" xfId="8" applyFont="1" applyFill="1" applyBorder="1" applyAlignment="1">
      <alignment horizontal="center" vertical="center"/>
    </xf>
    <xf numFmtId="0" fontId="11" fillId="0" borderId="1" xfId="8" applyFont="1" applyBorder="1" applyAlignment="1">
      <alignment horizontal="center" vertical="center"/>
    </xf>
    <xf numFmtId="41" fontId="11" fillId="0" borderId="1" xfId="9" applyFont="1" applyBorder="1" applyAlignment="1">
      <alignment horizontal="center" vertical="center"/>
    </xf>
    <xf numFmtId="41" fontId="11" fillId="0" borderId="1" xfId="9" applyFont="1" applyBorder="1">
      <alignment vertical="center"/>
    </xf>
    <xf numFmtId="0" fontId="11" fillId="0" borderId="1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41" fontId="11" fillId="0" borderId="1" xfId="0" applyNumberFormat="1" applyFont="1" applyBorder="1" applyAlignment="1">
      <alignment horizontal="center" vertical="center"/>
    </xf>
    <xf numFmtId="180" fontId="11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5" borderId="2" xfId="8" applyFont="1" applyFill="1" applyBorder="1" applyAlignment="1">
      <alignment horizontal="center" vertical="center"/>
    </xf>
    <xf numFmtId="0" fontId="11" fillId="5" borderId="3" xfId="8" applyFont="1" applyFill="1" applyBorder="1" applyAlignment="1">
      <alignment horizontal="center" vertical="center"/>
    </xf>
    <xf numFmtId="0" fontId="11" fillId="5" borderId="4" xfId="8" applyFont="1" applyFill="1" applyBorder="1" applyAlignment="1">
      <alignment horizontal="center" vertical="center"/>
    </xf>
  </cellXfs>
  <cellStyles count="11">
    <cellStyle name="강조색4" xfId="4" builtinId="41"/>
    <cellStyle name="강조색6" xfId="7" builtinId="49"/>
    <cellStyle name="쉼표 [0]" xfId="1" builtinId="6"/>
    <cellStyle name="쉼표 [0] 2 2" xfId="9" xr:uid="{00000000-0005-0000-0000-000003000000}"/>
    <cellStyle name="쉼표 [0] 3" xfId="6" xr:uid="{00000000-0005-0000-0000-000004000000}"/>
    <cellStyle name="표준" xfId="0" builtinId="0"/>
    <cellStyle name="표준 2" xfId="2" xr:uid="{00000000-0005-0000-0000-000006000000}"/>
    <cellStyle name="표준 2 2" xfId="5" xr:uid="{00000000-0005-0000-0000-000007000000}"/>
    <cellStyle name="표준 2 3" xfId="10" xr:uid="{00000000-0005-0000-0000-000008000000}"/>
    <cellStyle name="표준 3 2" xfId="8" xr:uid="{00000000-0005-0000-0000-000009000000}"/>
    <cellStyle name="표준_제1작업" xfId="3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chemeClr val="dk1"/>
                </a:solidFill>
                <a:latin typeface="+mn-lt"/>
                <a:ea typeface="+mn-ea"/>
                <a:cs typeface="+mn-cs"/>
              </a:rPr>
              <a:t>1</a:t>
            </a:r>
            <a:r>
              <a:rPr lang="ko-KR" alt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학기 컴퓨터공학과 성적</a:t>
            </a:r>
            <a:endParaRPr lang="ko-KR" altLang="en-US"/>
          </a:p>
        </c:rich>
      </c:tx>
      <c:overlay val="0"/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차트작업!$C$2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(차트작업!$A$3:$A$6,차트작업!$A$9:$A$10)</c:f>
              <c:strCache>
                <c:ptCount val="6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김후영</c:v>
                </c:pt>
                <c:pt idx="5">
                  <c:v>김민국</c:v>
                </c:pt>
              </c:strCache>
            </c:strRef>
          </c:cat>
          <c:val>
            <c:numRef>
              <c:f>(차트작업!$C$3:$C$6,차트작업!$C$9:$C$10)</c:f>
              <c:numCache>
                <c:formatCode>General</c:formatCode>
                <c:ptCount val="6"/>
                <c:pt idx="0">
                  <c:v>13</c:v>
                </c:pt>
                <c:pt idx="1">
                  <c:v>19</c:v>
                </c:pt>
                <c:pt idx="2">
                  <c:v>14</c:v>
                </c:pt>
                <c:pt idx="3">
                  <c:v>20</c:v>
                </c:pt>
                <c:pt idx="4">
                  <c:v>16</c:v>
                </c:pt>
                <c:pt idx="5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E-427B-A200-E351003A0202}"/>
            </c:ext>
          </c:extLst>
        </c:ser>
        <c:ser>
          <c:idx val="1"/>
          <c:order val="1"/>
          <c:tx>
            <c:strRef>
              <c:f>차트작업!$D$2</c:f>
              <c:strCache>
                <c:ptCount val="1"/>
                <c:pt idx="0">
                  <c:v>출석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(차트작업!$A$3:$A$6,차트작업!$A$9:$A$10)</c:f>
              <c:strCache>
                <c:ptCount val="6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김후영</c:v>
                </c:pt>
                <c:pt idx="5">
                  <c:v>김민국</c:v>
                </c:pt>
              </c:strCache>
            </c:strRef>
          </c:cat>
          <c:val>
            <c:numRef>
              <c:f>(차트작업!$D$3:$D$6,차트작업!$D$9:$D$10)</c:f>
              <c:numCache>
                <c:formatCode>General</c:formatCode>
                <c:ptCount val="6"/>
                <c:pt idx="0">
                  <c:v>11</c:v>
                </c:pt>
                <c:pt idx="1">
                  <c:v>10</c:v>
                </c:pt>
                <c:pt idx="2">
                  <c:v>11</c:v>
                </c:pt>
                <c:pt idx="3">
                  <c:v>15</c:v>
                </c:pt>
                <c:pt idx="4">
                  <c:v>19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C7-488C-977D-93A97F0D046A}"/>
            </c:ext>
          </c:extLst>
        </c:ser>
        <c:ser>
          <c:idx val="2"/>
          <c:order val="2"/>
          <c:tx>
            <c:strRef>
              <c:f>차트작업!$E$2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(차트작업!$A$3:$A$6,차트작업!$A$9:$A$10)</c:f>
              <c:strCache>
                <c:ptCount val="6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김후영</c:v>
                </c:pt>
                <c:pt idx="5">
                  <c:v>김민국</c:v>
                </c:pt>
              </c:strCache>
            </c:strRef>
          </c:cat>
          <c:val>
            <c:numRef>
              <c:f>(차트작업!$E$3:$E$6,차트작업!$E$9:$E$10)</c:f>
              <c:numCache>
                <c:formatCode>General</c:formatCode>
                <c:ptCount val="6"/>
                <c:pt idx="0">
                  <c:v>23</c:v>
                </c:pt>
                <c:pt idx="1">
                  <c:v>16</c:v>
                </c:pt>
                <c:pt idx="2">
                  <c:v>15</c:v>
                </c:pt>
                <c:pt idx="3">
                  <c:v>21</c:v>
                </c:pt>
                <c:pt idx="4">
                  <c:v>15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C7-488C-977D-93A97F0D046A}"/>
            </c:ext>
          </c:extLst>
        </c:ser>
        <c:ser>
          <c:idx val="3"/>
          <c:order val="3"/>
          <c:tx>
            <c:strRef>
              <c:f>차트작업!$F$2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(차트작업!$A$3:$A$6,차트작업!$A$9:$A$10)</c:f>
              <c:strCache>
                <c:ptCount val="6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김후영</c:v>
                </c:pt>
                <c:pt idx="5">
                  <c:v>김민국</c:v>
                </c:pt>
              </c:strCache>
            </c:strRef>
          </c:cat>
          <c:val>
            <c:numRef>
              <c:f>(차트작업!$F$3:$F$6,차트작업!$F$9:$F$10)</c:f>
              <c:numCache>
                <c:formatCode>General</c:formatCode>
                <c:ptCount val="6"/>
                <c:pt idx="0">
                  <c:v>30</c:v>
                </c:pt>
                <c:pt idx="1">
                  <c:v>26</c:v>
                </c:pt>
                <c:pt idx="2">
                  <c:v>25</c:v>
                </c:pt>
                <c:pt idx="3">
                  <c:v>15</c:v>
                </c:pt>
                <c:pt idx="4">
                  <c:v>23</c:v>
                </c:pt>
                <c:pt idx="5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C7-488C-977D-93A97F0D0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38774016"/>
        <c:axId val="1038766112"/>
      </c:barChart>
      <c:catAx>
        <c:axId val="103877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8766112"/>
        <c:crosses val="autoZero"/>
        <c:auto val="1"/>
        <c:lblAlgn val="ctr"/>
        <c:lblOffset val="100"/>
        <c:noMultiLvlLbl val="0"/>
      </c:catAx>
      <c:valAx>
        <c:axId val="1038766112"/>
        <c:scaling>
          <c:orientation val="minMax"/>
          <c:max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8774016"/>
        <c:crosses val="autoZero"/>
        <c:crossBetween val="between"/>
        <c:majorUnit val="1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테두리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12700</xdr:colOff>
      <xdr:row>15</xdr:row>
      <xdr:rowOff>12700</xdr:rowOff>
    </xdr:from>
    <xdr:to>
      <xdr:col>6</xdr:col>
      <xdr:colOff>0</xdr:colOff>
      <xdr:row>18</xdr:row>
      <xdr:rowOff>0</xdr:rowOff>
    </xdr:to>
    <xdr:sp macro="[0]!셀스타일" textlink="">
      <xdr:nvSpPr>
        <xdr:cNvPr id="2" name="배지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543300" y="3251200"/>
          <a:ext cx="1752600" cy="63500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11</xdr:col>
      <xdr:colOff>0</xdr:colOff>
      <xdr:row>35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3"/>
  <sheetViews>
    <sheetView tabSelected="1" workbookViewId="0"/>
  </sheetViews>
  <sheetFormatPr defaultRowHeight="16.5"/>
  <cols>
    <col min="1" max="1" width="39.375" bestFit="1" customWidth="1"/>
    <col min="2" max="2" width="17.875" bestFit="1" customWidth="1"/>
    <col min="3" max="3" width="13.125" bestFit="1" customWidth="1"/>
    <col min="4" max="4" width="10.375" bestFit="1" customWidth="1"/>
  </cols>
  <sheetData>
    <row r="1" spans="1:5">
      <c r="A1" t="s">
        <v>80</v>
      </c>
    </row>
    <row r="3" spans="1:5">
      <c r="A3" s="9" t="s">
        <v>81</v>
      </c>
      <c r="B3" s="9" t="s">
        <v>82</v>
      </c>
      <c r="C3" s="10" t="s">
        <v>83</v>
      </c>
      <c r="D3" s="9" t="s">
        <v>84</v>
      </c>
      <c r="E3" s="10" t="s">
        <v>85</v>
      </c>
    </row>
    <row r="4" spans="1:5">
      <c r="A4" s="9" t="s">
        <v>86</v>
      </c>
      <c r="B4" s="9" t="s">
        <v>87</v>
      </c>
      <c r="C4" s="9" t="s">
        <v>89</v>
      </c>
      <c r="D4" s="9" t="s">
        <v>90</v>
      </c>
      <c r="E4" s="9" t="s">
        <v>92</v>
      </c>
    </row>
    <row r="5" spans="1:5">
      <c r="A5" s="9" t="s">
        <v>93</v>
      </c>
      <c r="B5" s="9" t="s">
        <v>94</v>
      </c>
      <c r="C5" s="9" t="s">
        <v>95</v>
      </c>
      <c r="D5" s="9" t="s">
        <v>96</v>
      </c>
      <c r="E5" s="9" t="s">
        <v>97</v>
      </c>
    </row>
    <row r="6" spans="1:5">
      <c r="A6" s="9" t="s">
        <v>98</v>
      </c>
      <c r="B6" s="9" t="s">
        <v>99</v>
      </c>
      <c r="C6" s="9" t="s">
        <v>100</v>
      </c>
      <c r="D6" s="9" t="s">
        <v>101</v>
      </c>
      <c r="E6" s="9" t="s">
        <v>102</v>
      </c>
    </row>
    <row r="7" spans="1:5">
      <c r="A7" s="9" t="s">
        <v>103</v>
      </c>
      <c r="B7" s="9" t="s">
        <v>104</v>
      </c>
      <c r="C7" s="9" t="s">
        <v>95</v>
      </c>
      <c r="D7" s="9" t="s">
        <v>105</v>
      </c>
      <c r="E7" s="9" t="s">
        <v>91</v>
      </c>
    </row>
    <row r="8" spans="1:5">
      <c r="A8" s="9" t="s">
        <v>106</v>
      </c>
      <c r="B8" s="9" t="s">
        <v>107</v>
      </c>
      <c r="C8" s="9" t="s">
        <v>109</v>
      </c>
      <c r="D8" s="9" t="s">
        <v>110</v>
      </c>
      <c r="E8" s="9" t="s">
        <v>91</v>
      </c>
    </row>
    <row r="9" spans="1:5">
      <c r="A9" s="9" t="s">
        <v>111</v>
      </c>
      <c r="B9" s="9" t="s">
        <v>112</v>
      </c>
      <c r="C9" s="9" t="s">
        <v>108</v>
      </c>
      <c r="D9" s="9" t="s">
        <v>113</v>
      </c>
      <c r="E9" s="9" t="s">
        <v>92</v>
      </c>
    </row>
    <row r="10" spans="1:5">
      <c r="A10" s="9" t="s">
        <v>114</v>
      </c>
      <c r="B10" s="9" t="s">
        <v>115</v>
      </c>
      <c r="C10" s="9" t="s">
        <v>95</v>
      </c>
      <c r="D10" s="9" t="s">
        <v>116</v>
      </c>
      <c r="E10" s="9" t="s">
        <v>97</v>
      </c>
    </row>
    <row r="11" spans="1:5">
      <c r="A11" s="9" t="s">
        <v>117</v>
      </c>
      <c r="B11" s="9" t="s">
        <v>118</v>
      </c>
      <c r="C11" s="9" t="s">
        <v>88</v>
      </c>
      <c r="D11" s="9" t="s">
        <v>119</v>
      </c>
      <c r="E11" s="9" t="s">
        <v>91</v>
      </c>
    </row>
    <row r="12" spans="1:5">
      <c r="A12" s="9" t="s">
        <v>120</v>
      </c>
      <c r="B12" s="9" t="s">
        <v>121</v>
      </c>
      <c r="C12" s="9" t="s">
        <v>100</v>
      </c>
      <c r="D12" s="9" t="s">
        <v>122</v>
      </c>
      <c r="E12" s="9" t="s">
        <v>92</v>
      </c>
    </row>
    <row r="13" spans="1:5">
      <c r="A13" s="9" t="s">
        <v>123</v>
      </c>
      <c r="B13" s="9" t="s">
        <v>124</v>
      </c>
      <c r="C13" s="9" t="s">
        <v>125</v>
      </c>
      <c r="D13" s="9" t="s">
        <v>126</v>
      </c>
      <c r="E13" s="9" t="s">
        <v>97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3"/>
  <sheetViews>
    <sheetView topLeftCell="C1" workbookViewId="0">
      <selection activeCell="A3" sqref="A3:H3"/>
    </sheetView>
  </sheetViews>
  <sheetFormatPr defaultRowHeight="16.5"/>
  <cols>
    <col min="2" max="2" width="14.375" bestFit="1" customWidth="1"/>
    <col min="4" max="4" width="21.625" bestFit="1" customWidth="1"/>
    <col min="5" max="5" width="15.875" customWidth="1"/>
    <col min="6" max="7" width="8.75" bestFit="1" customWidth="1"/>
    <col min="8" max="8" width="10.5" customWidth="1"/>
  </cols>
  <sheetData>
    <row r="1" spans="1:8" ht="30" customHeight="1">
      <c r="A1" s="50" t="s">
        <v>163</v>
      </c>
      <c r="B1" s="50"/>
      <c r="C1" s="50"/>
      <c r="D1" s="50"/>
      <c r="E1" s="50"/>
      <c r="F1" s="50"/>
      <c r="G1" s="50"/>
      <c r="H1" s="50"/>
    </row>
    <row r="3" spans="1:8">
      <c r="A3" s="11" t="s">
        <v>139</v>
      </c>
      <c r="B3" s="11" t="s">
        <v>164</v>
      </c>
      <c r="C3" s="11" t="s">
        <v>165</v>
      </c>
      <c r="D3" s="12" t="s">
        <v>127</v>
      </c>
      <c r="E3" s="13" t="s">
        <v>128</v>
      </c>
      <c r="F3" s="13" t="s">
        <v>129</v>
      </c>
      <c r="G3" s="13" t="s">
        <v>130</v>
      </c>
      <c r="H3" s="13" t="s">
        <v>161</v>
      </c>
    </row>
    <row r="4" spans="1:8">
      <c r="A4" s="51" t="s">
        <v>141</v>
      </c>
      <c r="B4" s="1" t="s">
        <v>143</v>
      </c>
      <c r="C4" s="1" t="s">
        <v>147</v>
      </c>
      <c r="D4" s="14" t="s">
        <v>162</v>
      </c>
      <c r="E4" s="15" t="s">
        <v>136</v>
      </c>
      <c r="F4" s="16">
        <v>829.84</v>
      </c>
      <c r="G4" s="17">
        <v>163</v>
      </c>
      <c r="H4" s="18">
        <v>2010</v>
      </c>
    </row>
    <row r="5" spans="1:8">
      <c r="A5" s="51"/>
      <c r="B5" s="1" t="s">
        <v>149</v>
      </c>
      <c r="C5" s="1" t="s">
        <v>150</v>
      </c>
      <c r="D5" s="14" t="s">
        <v>137</v>
      </c>
      <c r="E5" s="15" t="s">
        <v>136</v>
      </c>
      <c r="F5" s="16">
        <v>601</v>
      </c>
      <c r="G5" s="17">
        <v>120</v>
      </c>
      <c r="H5" s="18">
        <v>2012</v>
      </c>
    </row>
    <row r="6" spans="1:8">
      <c r="A6" s="51" t="s">
        <v>140</v>
      </c>
      <c r="B6" s="51" t="s">
        <v>166</v>
      </c>
      <c r="C6" s="1" t="s">
        <v>148</v>
      </c>
      <c r="D6" s="14" t="s">
        <v>131</v>
      </c>
      <c r="E6" s="15" t="s">
        <v>132</v>
      </c>
      <c r="F6" s="16">
        <v>632</v>
      </c>
      <c r="G6" s="17">
        <v>128</v>
      </c>
      <c r="H6" s="18">
        <v>2015</v>
      </c>
    </row>
    <row r="7" spans="1:8">
      <c r="A7" s="51"/>
      <c r="B7" s="51"/>
      <c r="C7" s="1" t="s">
        <v>151</v>
      </c>
      <c r="D7" s="14" t="s">
        <v>133</v>
      </c>
      <c r="E7" s="15" t="s">
        <v>134</v>
      </c>
      <c r="F7" s="16">
        <v>599</v>
      </c>
      <c r="G7" s="17">
        <v>115</v>
      </c>
      <c r="H7" s="18">
        <v>2017</v>
      </c>
    </row>
    <row r="8" spans="1:8">
      <c r="A8" s="51"/>
      <c r="B8" s="51"/>
      <c r="C8" s="1" t="s">
        <v>157</v>
      </c>
      <c r="D8" s="14" t="s">
        <v>144</v>
      </c>
      <c r="E8" s="15" t="s">
        <v>134</v>
      </c>
      <c r="F8" s="16">
        <v>530</v>
      </c>
      <c r="G8" s="17">
        <v>111</v>
      </c>
      <c r="H8" s="18">
        <v>2015</v>
      </c>
    </row>
    <row r="9" spans="1:8">
      <c r="A9" s="51"/>
      <c r="B9" s="51"/>
      <c r="C9" s="1" t="s">
        <v>160</v>
      </c>
      <c r="D9" s="14" t="s">
        <v>158</v>
      </c>
      <c r="E9" s="15" t="s">
        <v>146</v>
      </c>
      <c r="F9" s="16">
        <v>527.70000000000005</v>
      </c>
      <c r="G9" s="17">
        <v>108</v>
      </c>
      <c r="H9" s="18">
        <v>2018</v>
      </c>
    </row>
    <row r="10" spans="1:8">
      <c r="A10" s="51"/>
      <c r="B10" s="51"/>
      <c r="C10" s="1" t="s">
        <v>159</v>
      </c>
      <c r="D10" s="14" t="s">
        <v>144</v>
      </c>
      <c r="E10" s="15" t="s">
        <v>146</v>
      </c>
      <c r="F10" s="16">
        <v>530</v>
      </c>
      <c r="G10" s="17">
        <v>97</v>
      </c>
      <c r="H10" s="18">
        <v>2017</v>
      </c>
    </row>
    <row r="11" spans="1:8">
      <c r="A11" s="51"/>
      <c r="B11" s="1" t="s">
        <v>152</v>
      </c>
      <c r="C11" s="1" t="s">
        <v>153</v>
      </c>
      <c r="D11" s="14" t="s">
        <v>135</v>
      </c>
      <c r="E11" s="15" t="s">
        <v>136</v>
      </c>
      <c r="F11" s="16">
        <v>555.70000000000005</v>
      </c>
      <c r="G11" s="17">
        <v>123</v>
      </c>
      <c r="H11" s="18">
        <v>2016</v>
      </c>
    </row>
    <row r="12" spans="1:8">
      <c r="A12" s="51"/>
      <c r="B12" s="1" t="s">
        <v>167</v>
      </c>
      <c r="C12" s="1" t="s">
        <v>154</v>
      </c>
      <c r="D12" s="14" t="s">
        <v>138</v>
      </c>
      <c r="E12" s="15" t="s">
        <v>132</v>
      </c>
      <c r="F12" s="16">
        <v>509.2</v>
      </c>
      <c r="G12" s="17">
        <v>101</v>
      </c>
      <c r="H12" s="18">
        <v>2004</v>
      </c>
    </row>
    <row r="13" spans="1:8">
      <c r="A13" s="1" t="s">
        <v>142</v>
      </c>
      <c r="B13" s="1" t="s">
        <v>155</v>
      </c>
      <c r="C13" s="1" t="s">
        <v>156</v>
      </c>
      <c r="D13" s="14" t="s">
        <v>145</v>
      </c>
      <c r="E13" s="15" t="s">
        <v>132</v>
      </c>
      <c r="F13" s="16">
        <v>541</v>
      </c>
      <c r="G13" s="17">
        <v>108</v>
      </c>
      <c r="H13" s="18">
        <v>2014</v>
      </c>
    </row>
  </sheetData>
  <mergeCells count="4">
    <mergeCell ref="A1:H1"/>
    <mergeCell ref="B6:B10"/>
    <mergeCell ref="A6:A12"/>
    <mergeCell ref="A4:A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9"/>
  <sheetViews>
    <sheetView workbookViewId="0">
      <selection activeCell="A24" sqref="A24:F24"/>
    </sheetView>
  </sheetViews>
  <sheetFormatPr defaultRowHeight="16.5"/>
  <cols>
    <col min="2" max="3" width="12.375" bestFit="1" customWidth="1"/>
  </cols>
  <sheetData>
    <row r="1" spans="1:8">
      <c r="A1" t="s">
        <v>168</v>
      </c>
    </row>
    <row r="3" spans="1:8">
      <c r="A3" t="s">
        <v>23</v>
      </c>
      <c r="B3" t="s">
        <v>24</v>
      </c>
      <c r="C3" t="s">
        <v>25</v>
      </c>
      <c r="D3" t="s">
        <v>26</v>
      </c>
      <c r="E3" t="s">
        <v>27</v>
      </c>
      <c r="F3" t="s">
        <v>28</v>
      </c>
      <c r="G3" t="s">
        <v>29</v>
      </c>
      <c r="H3" t="s">
        <v>30</v>
      </c>
    </row>
    <row r="4" spans="1:8">
      <c r="A4" t="s">
        <v>31</v>
      </c>
      <c r="B4" t="s">
        <v>32</v>
      </c>
      <c r="C4" t="s">
        <v>33</v>
      </c>
      <c r="D4">
        <v>13</v>
      </c>
      <c r="E4">
        <v>11</v>
      </c>
      <c r="F4">
        <v>23</v>
      </c>
      <c r="G4">
        <v>30</v>
      </c>
      <c r="H4">
        <v>80</v>
      </c>
    </row>
    <row r="5" spans="1:8">
      <c r="A5" t="s">
        <v>34</v>
      </c>
      <c r="B5" t="s">
        <v>35</v>
      </c>
      <c r="C5" t="s">
        <v>33</v>
      </c>
      <c r="D5">
        <v>19</v>
      </c>
      <c r="E5">
        <v>10</v>
      </c>
      <c r="F5">
        <v>16</v>
      </c>
      <c r="G5">
        <v>26</v>
      </c>
      <c r="H5">
        <v>71</v>
      </c>
    </row>
    <row r="6" spans="1:8">
      <c r="A6" t="s">
        <v>36</v>
      </c>
      <c r="B6" t="s">
        <v>37</v>
      </c>
      <c r="C6" t="s">
        <v>33</v>
      </c>
      <c r="D6">
        <v>14</v>
      </c>
      <c r="E6">
        <v>11</v>
      </c>
      <c r="F6">
        <v>15</v>
      </c>
      <c r="G6">
        <v>25</v>
      </c>
      <c r="H6">
        <v>65</v>
      </c>
    </row>
    <row r="7" spans="1:8">
      <c r="A7" t="s">
        <v>38</v>
      </c>
      <c r="B7" t="s">
        <v>39</v>
      </c>
      <c r="C7" t="s">
        <v>33</v>
      </c>
      <c r="D7">
        <v>20</v>
      </c>
      <c r="E7">
        <v>15</v>
      </c>
      <c r="F7">
        <v>21</v>
      </c>
      <c r="G7">
        <v>15</v>
      </c>
      <c r="H7">
        <v>71</v>
      </c>
    </row>
    <row r="8" spans="1:8">
      <c r="A8" t="s">
        <v>40</v>
      </c>
      <c r="B8" t="s">
        <v>41</v>
      </c>
      <c r="C8" t="s">
        <v>42</v>
      </c>
      <c r="D8">
        <v>10</v>
      </c>
      <c r="E8">
        <v>15</v>
      </c>
      <c r="F8">
        <v>22</v>
      </c>
      <c r="G8">
        <v>27</v>
      </c>
      <c r="H8">
        <v>77</v>
      </c>
    </row>
    <row r="9" spans="1:8">
      <c r="A9" t="s">
        <v>43</v>
      </c>
      <c r="B9" t="s">
        <v>44</v>
      </c>
      <c r="C9" t="s">
        <v>42</v>
      </c>
      <c r="D9">
        <v>14</v>
      </c>
      <c r="E9">
        <v>12</v>
      </c>
      <c r="F9">
        <v>27</v>
      </c>
      <c r="G9">
        <v>28</v>
      </c>
      <c r="H9">
        <v>84</v>
      </c>
    </row>
    <row r="10" spans="1:8">
      <c r="A10" t="s">
        <v>45</v>
      </c>
      <c r="B10" t="s">
        <v>46</v>
      </c>
      <c r="C10" t="s">
        <v>33</v>
      </c>
      <c r="D10">
        <v>16</v>
      </c>
      <c r="E10">
        <v>19</v>
      </c>
      <c r="F10">
        <v>15</v>
      </c>
      <c r="G10">
        <v>23</v>
      </c>
      <c r="H10">
        <v>73</v>
      </c>
    </row>
    <row r="11" spans="1:8">
      <c r="A11" t="s">
        <v>47</v>
      </c>
      <c r="B11" t="s">
        <v>48</v>
      </c>
      <c r="C11" t="s">
        <v>33</v>
      </c>
      <c r="D11">
        <v>18</v>
      </c>
      <c r="E11">
        <v>13</v>
      </c>
      <c r="F11">
        <v>16</v>
      </c>
      <c r="G11">
        <v>23</v>
      </c>
      <c r="H11">
        <v>70</v>
      </c>
    </row>
    <row r="12" spans="1:8">
      <c r="A12" t="s">
        <v>49</v>
      </c>
      <c r="B12" t="s">
        <v>50</v>
      </c>
      <c r="C12" t="s">
        <v>33</v>
      </c>
      <c r="D12">
        <v>18</v>
      </c>
      <c r="E12">
        <v>20</v>
      </c>
      <c r="F12">
        <v>17</v>
      </c>
      <c r="G12">
        <v>15</v>
      </c>
      <c r="H12">
        <v>70</v>
      </c>
    </row>
    <row r="13" spans="1:8">
      <c r="A13" t="s">
        <v>51</v>
      </c>
      <c r="B13" t="s">
        <v>52</v>
      </c>
      <c r="C13" t="s">
        <v>42</v>
      </c>
      <c r="D13">
        <v>17</v>
      </c>
      <c r="E13">
        <v>18</v>
      </c>
      <c r="F13">
        <v>19</v>
      </c>
      <c r="G13">
        <v>30</v>
      </c>
      <c r="H13">
        <v>84</v>
      </c>
    </row>
    <row r="14" spans="1:8">
      <c r="A14" t="s">
        <v>53</v>
      </c>
      <c r="B14" t="s">
        <v>54</v>
      </c>
      <c r="C14" t="s">
        <v>42</v>
      </c>
      <c r="D14">
        <v>15</v>
      </c>
      <c r="E14">
        <v>12</v>
      </c>
      <c r="F14">
        <v>17</v>
      </c>
      <c r="G14">
        <v>24</v>
      </c>
      <c r="H14">
        <v>68</v>
      </c>
    </row>
    <row r="15" spans="1:8">
      <c r="A15" t="s">
        <v>38</v>
      </c>
      <c r="B15" t="s">
        <v>55</v>
      </c>
      <c r="C15" t="s">
        <v>42</v>
      </c>
      <c r="D15">
        <v>20</v>
      </c>
      <c r="E15">
        <v>15</v>
      </c>
      <c r="F15">
        <v>25</v>
      </c>
      <c r="G15">
        <v>27</v>
      </c>
      <c r="H15">
        <v>90</v>
      </c>
    </row>
    <row r="16" spans="1:8">
      <c r="A16" t="s">
        <v>45</v>
      </c>
      <c r="B16" t="s">
        <v>56</v>
      </c>
      <c r="C16" t="s">
        <v>42</v>
      </c>
      <c r="D16">
        <v>12</v>
      </c>
      <c r="E16">
        <v>15</v>
      </c>
      <c r="F16">
        <v>26</v>
      </c>
      <c r="G16">
        <v>15</v>
      </c>
      <c r="H16">
        <v>68</v>
      </c>
    </row>
    <row r="19" spans="1:6">
      <c r="A19" t="s">
        <v>23</v>
      </c>
      <c r="B19" t="s">
        <v>171</v>
      </c>
    </row>
    <row r="20" spans="1:6">
      <c r="A20" t="s">
        <v>169</v>
      </c>
      <c r="B20" t="s">
        <v>172</v>
      </c>
    </row>
    <row r="21" spans="1:6">
      <c r="A21" t="s">
        <v>170</v>
      </c>
      <c r="B21" t="s">
        <v>172</v>
      </c>
    </row>
    <row r="24" spans="1:6">
      <c r="A24" t="s">
        <v>24</v>
      </c>
      <c r="B24" t="s">
        <v>25</v>
      </c>
      <c r="C24" t="s">
        <v>26</v>
      </c>
      <c r="D24" t="s">
        <v>27</v>
      </c>
      <c r="E24" t="s">
        <v>28</v>
      </c>
      <c r="F24" t="s">
        <v>29</v>
      </c>
    </row>
    <row r="25" spans="1:6">
      <c r="A25" t="s">
        <v>32</v>
      </c>
      <c r="B25" t="s">
        <v>33</v>
      </c>
      <c r="C25">
        <v>13</v>
      </c>
      <c r="D25">
        <v>11</v>
      </c>
      <c r="E25">
        <v>23</v>
      </c>
      <c r="F25">
        <v>30</v>
      </c>
    </row>
    <row r="26" spans="1:6">
      <c r="A26" t="s">
        <v>41</v>
      </c>
      <c r="B26" t="s">
        <v>42</v>
      </c>
      <c r="C26">
        <v>10</v>
      </c>
      <c r="D26">
        <v>15</v>
      </c>
      <c r="E26">
        <v>22</v>
      </c>
      <c r="F26">
        <v>27</v>
      </c>
    </row>
    <row r="27" spans="1:6">
      <c r="A27" t="s">
        <v>44</v>
      </c>
      <c r="B27" t="s">
        <v>42</v>
      </c>
      <c r="C27">
        <v>14</v>
      </c>
      <c r="D27">
        <v>12</v>
      </c>
      <c r="E27">
        <v>27</v>
      </c>
      <c r="F27">
        <v>28</v>
      </c>
    </row>
    <row r="28" spans="1:6">
      <c r="A28" t="s">
        <v>52</v>
      </c>
      <c r="B28" t="s">
        <v>42</v>
      </c>
      <c r="C28">
        <v>17</v>
      </c>
      <c r="D28">
        <v>18</v>
      </c>
      <c r="E28">
        <v>19</v>
      </c>
      <c r="F28">
        <v>30</v>
      </c>
    </row>
    <row r="29" spans="1:6">
      <c r="A29" t="s">
        <v>55</v>
      </c>
      <c r="B29" t="s">
        <v>42</v>
      </c>
      <c r="C29">
        <v>20</v>
      </c>
      <c r="D29">
        <v>15</v>
      </c>
      <c r="E29">
        <v>25</v>
      </c>
      <c r="F29">
        <v>27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38"/>
  <sheetViews>
    <sheetView workbookViewId="0"/>
  </sheetViews>
  <sheetFormatPr defaultColWidth="8.625" defaultRowHeight="16.5"/>
  <cols>
    <col min="1" max="3" width="8.625" style="37"/>
    <col min="4" max="4" width="15.125" style="37" bestFit="1" customWidth="1"/>
    <col min="5" max="5" width="10.625" style="37" bestFit="1" customWidth="1"/>
    <col min="6" max="6" width="8.625" style="37"/>
    <col min="7" max="7" width="11.875" style="37" customWidth="1"/>
    <col min="8" max="8" width="11.25" style="37" customWidth="1"/>
    <col min="9" max="9" width="9.5" style="37" bestFit="1" customWidth="1"/>
    <col min="10" max="10" width="10.625" style="37" bestFit="1" customWidth="1"/>
    <col min="11" max="11" width="10.375" style="37" bestFit="1" customWidth="1"/>
    <col min="12" max="16384" width="8.625" style="37"/>
  </cols>
  <sheetData>
    <row r="1" spans="1:11">
      <c r="A1" s="35" t="s">
        <v>196</v>
      </c>
      <c r="B1" s="31" t="s">
        <v>197</v>
      </c>
      <c r="C1" s="38"/>
      <c r="D1" s="38"/>
      <c r="F1" s="36" t="s">
        <v>198</v>
      </c>
      <c r="G1" s="32" t="s">
        <v>199</v>
      </c>
      <c r="H1" s="36"/>
      <c r="I1" s="36"/>
      <c r="J1" s="36"/>
    </row>
    <row r="2" spans="1:11">
      <c r="A2" s="39" t="s">
        <v>200</v>
      </c>
      <c r="B2" s="40" t="s">
        <v>201</v>
      </c>
      <c r="C2" s="40" t="s">
        <v>202</v>
      </c>
      <c r="D2" s="41" t="s">
        <v>203</v>
      </c>
      <c r="F2" s="42" t="s">
        <v>204</v>
      </c>
      <c r="G2" s="42" t="s">
        <v>205</v>
      </c>
      <c r="H2" s="42" t="s">
        <v>206</v>
      </c>
      <c r="I2" s="42" t="s">
        <v>207</v>
      </c>
      <c r="J2" s="42" t="s">
        <v>208</v>
      </c>
    </row>
    <row r="3" spans="1:11">
      <c r="A3" s="40" t="s">
        <v>209</v>
      </c>
      <c r="B3" s="40" t="s">
        <v>286</v>
      </c>
      <c r="C3" s="40">
        <v>55</v>
      </c>
      <c r="D3" s="40" t="str" cm="1">
        <f t="array" ref="D3">IFERROR(_xlfn.SWITCH(MID(A3,6,1),"1","아메리카노","2","카페라떼","3","카푸치노"),"기타음료")</f>
        <v>아메리카노</v>
      </c>
      <c r="F3" s="43" t="s">
        <v>210</v>
      </c>
      <c r="G3" s="43" t="s">
        <v>211</v>
      </c>
      <c r="H3" s="43" t="s">
        <v>212</v>
      </c>
      <c r="I3" s="44">
        <v>14</v>
      </c>
      <c r="J3" s="45">
        <v>120000</v>
      </c>
    </row>
    <row r="4" spans="1:11">
      <c r="A4" s="40" t="s">
        <v>213</v>
      </c>
      <c r="B4" s="40" t="s">
        <v>285</v>
      </c>
      <c r="C4" s="40">
        <v>12</v>
      </c>
      <c r="D4" s="40" t="str" cm="1">
        <f t="array" ref="D4">IFERROR(_xlfn.SWITCH(MID(A4,6,1),"1","아메리카노","2","카페라떼","3","카푸치노"),"기타음료")</f>
        <v>카푸치노</v>
      </c>
      <c r="F4" s="33" t="s">
        <v>214</v>
      </c>
      <c r="G4" s="43" t="s">
        <v>211</v>
      </c>
      <c r="H4" s="43" t="s">
        <v>215</v>
      </c>
      <c r="I4" s="44">
        <v>12</v>
      </c>
      <c r="J4" s="45">
        <v>45000</v>
      </c>
    </row>
    <row r="5" spans="1:11">
      <c r="A5" s="40" t="s">
        <v>216</v>
      </c>
      <c r="B5" s="40" t="s">
        <v>217</v>
      </c>
      <c r="C5" s="40">
        <v>23</v>
      </c>
      <c r="D5" s="40" t="str" cm="1">
        <f t="array" ref="D5">IFERROR(_xlfn.SWITCH(MID(A5,6,1),"1","아메리카노","2","카페라떼","3","카푸치노"),"기타음료")</f>
        <v>기타음료</v>
      </c>
      <c r="F5" s="33" t="s">
        <v>218</v>
      </c>
      <c r="G5" s="43" t="s">
        <v>219</v>
      </c>
      <c r="H5" s="43" t="s">
        <v>220</v>
      </c>
      <c r="I5" s="44">
        <v>10</v>
      </c>
      <c r="J5" s="45">
        <v>60000</v>
      </c>
    </row>
    <row r="6" spans="1:11">
      <c r="A6" s="40" t="s">
        <v>221</v>
      </c>
      <c r="B6" s="40" t="s">
        <v>222</v>
      </c>
      <c r="C6" s="40">
        <v>35</v>
      </c>
      <c r="D6" s="40" t="str" cm="1">
        <f t="array" ref="D6">IFERROR(_xlfn.SWITCH(MID(A6,6,1),"1","아메리카노","2","카페라떼","3","카푸치노"),"기타음료")</f>
        <v>카페라떼</v>
      </c>
      <c r="F6" s="33" t="s">
        <v>223</v>
      </c>
      <c r="G6" s="43" t="s">
        <v>211</v>
      </c>
      <c r="H6" s="43" t="s">
        <v>220</v>
      </c>
      <c r="I6" s="44">
        <v>8</v>
      </c>
      <c r="J6" s="45">
        <v>89000</v>
      </c>
    </row>
    <row r="7" spans="1:11">
      <c r="A7" s="40" t="s">
        <v>224</v>
      </c>
      <c r="B7" s="40" t="s">
        <v>225</v>
      </c>
      <c r="C7" s="40">
        <v>8</v>
      </c>
      <c r="D7" s="40" t="str" cm="1">
        <f t="array" ref="D7">IFERROR(_xlfn.SWITCH(MID(A7,6,1),"1","아메리카노","2","카페라떼","3","카푸치노"),"기타음료")</f>
        <v>기타음료</v>
      </c>
      <c r="F7" s="33" t="s">
        <v>226</v>
      </c>
      <c r="G7" s="43" t="s">
        <v>211</v>
      </c>
      <c r="H7" s="43" t="s">
        <v>227</v>
      </c>
      <c r="I7" s="44">
        <v>10</v>
      </c>
      <c r="J7" s="45">
        <v>80000</v>
      </c>
    </row>
    <row r="8" spans="1:11">
      <c r="A8" s="40" t="s">
        <v>228</v>
      </c>
      <c r="B8" s="40" t="s">
        <v>222</v>
      </c>
      <c r="C8" s="40">
        <v>45</v>
      </c>
      <c r="D8" s="40" t="str" cm="1">
        <f t="array" ref="D8">IFERROR(_xlfn.SWITCH(MID(A8,6,1),"1","아메리카노","2","카페라떼","3","카푸치노"),"기타음료")</f>
        <v>아메리카노</v>
      </c>
      <c r="F8" s="43" t="s">
        <v>229</v>
      </c>
      <c r="G8" s="43" t="s">
        <v>219</v>
      </c>
      <c r="H8" s="43" t="s">
        <v>212</v>
      </c>
      <c r="I8" s="44">
        <v>10</v>
      </c>
      <c r="J8" s="45">
        <v>70000</v>
      </c>
    </row>
    <row r="9" spans="1:11">
      <c r="A9" s="40" t="s">
        <v>230</v>
      </c>
      <c r="B9" s="40" t="s">
        <v>231</v>
      </c>
      <c r="C9" s="40">
        <v>5</v>
      </c>
      <c r="D9" s="40" t="str" cm="1">
        <f t="array" ref="D9">IFERROR(_xlfn.SWITCH(MID(A9,6,1),"1","아메리카노","2","카페라떼","3","카푸치노"),"기타음료")</f>
        <v>기타음료</v>
      </c>
      <c r="F9" s="33" t="s">
        <v>232</v>
      </c>
      <c r="G9" s="43" t="s">
        <v>211</v>
      </c>
      <c r="H9" s="43" t="s">
        <v>212</v>
      </c>
      <c r="I9" s="44">
        <v>7</v>
      </c>
      <c r="J9" s="45">
        <v>55000</v>
      </c>
    </row>
    <row r="10" spans="1:11">
      <c r="A10" s="40" t="s">
        <v>233</v>
      </c>
      <c r="B10" s="40" t="s">
        <v>234</v>
      </c>
      <c r="C10" s="40">
        <v>4</v>
      </c>
      <c r="D10" s="40" t="str" cm="1">
        <f t="array" ref="D10">IFERROR(_xlfn.SWITCH(MID(A10,6,1),"1","아메리카노","2","카페라떼","3","카푸치노"),"기타음료")</f>
        <v>카푸치노</v>
      </c>
      <c r="F10" s="52" t="s">
        <v>290</v>
      </c>
      <c r="G10" s="53"/>
      <c r="H10" s="53"/>
      <c r="I10" s="54"/>
      <c r="J10" s="45">
        <f>SUMIF(I3:I9,_xlfn.MODE.SNGL(I3:I9),J3:J9)</f>
        <v>210000</v>
      </c>
    </row>
    <row r="11" spans="1:11">
      <c r="A11" s="40" t="s">
        <v>235</v>
      </c>
      <c r="B11" s="40" t="s">
        <v>234</v>
      </c>
      <c r="C11" s="40">
        <v>52</v>
      </c>
      <c r="D11" s="40" t="str" cm="1">
        <f t="array" ref="D11">IFERROR(_xlfn.SWITCH(MID(A11,6,1),"1","아메리카노","2","카페라떼","3","카푸치노"),"기타음료")</f>
        <v>카페라떼</v>
      </c>
    </row>
    <row r="12" spans="1:11">
      <c r="A12" s="40" t="s">
        <v>236</v>
      </c>
      <c r="B12" s="40" t="s">
        <v>237</v>
      </c>
      <c r="C12" s="40">
        <v>15</v>
      </c>
      <c r="D12" s="40" t="str" cm="1">
        <f t="array" ref="D12">IFERROR(_xlfn.SWITCH(MID(A12,6,1),"1","아메리카노","2","카페라떼","3","카푸치노"),"기타음료")</f>
        <v>기타음료</v>
      </c>
    </row>
    <row r="14" spans="1:11">
      <c r="A14" s="37" t="s">
        <v>238</v>
      </c>
      <c r="B14" s="34" t="s">
        <v>239</v>
      </c>
      <c r="G14" s="37" t="s">
        <v>186</v>
      </c>
      <c r="H14" s="34" t="s">
        <v>240</v>
      </c>
    </row>
    <row r="15" spans="1:11">
      <c r="A15" s="46" t="s">
        <v>241</v>
      </c>
      <c r="B15" s="46" t="s">
        <v>242</v>
      </c>
      <c r="C15" s="46" t="s">
        <v>187</v>
      </c>
      <c r="D15" s="46" t="s">
        <v>188</v>
      </c>
      <c r="E15" s="47" t="s">
        <v>189</v>
      </c>
      <c r="G15" s="46" t="s">
        <v>243</v>
      </c>
      <c r="H15" s="46" t="s">
        <v>244</v>
      </c>
      <c r="I15" s="46" t="s">
        <v>190</v>
      </c>
      <c r="J15" s="46" t="s">
        <v>191</v>
      </c>
      <c r="K15" s="47" t="s">
        <v>245</v>
      </c>
    </row>
    <row r="16" spans="1:11">
      <c r="A16" s="46" t="s">
        <v>246</v>
      </c>
      <c r="B16" s="46" t="s">
        <v>247</v>
      </c>
      <c r="C16" s="46">
        <v>250</v>
      </c>
      <c r="D16" s="46">
        <v>160</v>
      </c>
      <c r="E16" s="48">
        <f t="shared" ref="E16:E23" si="0">D16*HLOOKUP(RIGHT(B16,1),$B$26:$E$27,2,FALSE)</f>
        <v>4768000</v>
      </c>
      <c r="G16" s="46" t="s">
        <v>248</v>
      </c>
      <c r="H16" s="46">
        <v>220</v>
      </c>
      <c r="I16" s="49">
        <v>45387</v>
      </c>
      <c r="J16" s="49">
        <v>45410</v>
      </c>
      <c r="K16" s="48">
        <f t="shared" ref="K16:K23" si="1">_xlfn.DAYS(J16,I16)*H16</f>
        <v>5060</v>
      </c>
    </row>
    <row r="17" spans="1:11">
      <c r="A17" s="46" t="s">
        <v>249</v>
      </c>
      <c r="B17" s="46" t="s">
        <v>250</v>
      </c>
      <c r="C17" s="46">
        <v>200</v>
      </c>
      <c r="D17" s="46">
        <v>148</v>
      </c>
      <c r="E17" s="48">
        <f t="shared" si="0"/>
        <v>2368000</v>
      </c>
      <c r="G17" s="46" t="s">
        <v>251</v>
      </c>
      <c r="H17" s="46">
        <v>220</v>
      </c>
      <c r="I17" s="49">
        <v>45388</v>
      </c>
      <c r="J17" s="49">
        <v>45416</v>
      </c>
      <c r="K17" s="48">
        <f t="shared" si="1"/>
        <v>6160</v>
      </c>
    </row>
    <row r="18" spans="1:11">
      <c r="A18" s="46" t="s">
        <v>252</v>
      </c>
      <c r="B18" s="46" t="s">
        <v>253</v>
      </c>
      <c r="C18" s="46">
        <v>100</v>
      </c>
      <c r="D18" s="46">
        <v>38</v>
      </c>
      <c r="E18" s="48">
        <f t="shared" si="0"/>
        <v>1330000</v>
      </c>
      <c r="G18" s="46" t="s">
        <v>254</v>
      </c>
      <c r="H18" s="46">
        <v>220</v>
      </c>
      <c r="I18" s="49">
        <v>45388</v>
      </c>
      <c r="J18" s="49">
        <v>45400</v>
      </c>
      <c r="K18" s="48">
        <f t="shared" si="1"/>
        <v>2640</v>
      </c>
    </row>
    <row r="19" spans="1:11">
      <c r="A19" s="46" t="s">
        <v>255</v>
      </c>
      <c r="B19" s="46" t="s">
        <v>256</v>
      </c>
      <c r="C19" s="46">
        <v>50</v>
      </c>
      <c r="D19" s="46">
        <v>28</v>
      </c>
      <c r="E19" s="48">
        <f t="shared" si="0"/>
        <v>1260000</v>
      </c>
      <c r="G19" s="46" t="s">
        <v>257</v>
      </c>
      <c r="H19" s="46">
        <v>220</v>
      </c>
      <c r="I19" s="49">
        <v>45390</v>
      </c>
      <c r="J19" s="49">
        <v>45425</v>
      </c>
      <c r="K19" s="48">
        <f t="shared" si="1"/>
        <v>7700</v>
      </c>
    </row>
    <row r="20" spans="1:11">
      <c r="A20" s="46" t="s">
        <v>249</v>
      </c>
      <c r="B20" s="46" t="s">
        <v>258</v>
      </c>
      <c r="C20" s="46">
        <v>200</v>
      </c>
      <c r="D20" s="46">
        <v>175</v>
      </c>
      <c r="E20" s="48">
        <f t="shared" si="0"/>
        <v>2800000</v>
      </c>
      <c r="G20" s="46" t="s">
        <v>259</v>
      </c>
      <c r="H20" s="46">
        <v>880</v>
      </c>
      <c r="I20" s="49">
        <v>45388</v>
      </c>
      <c r="J20" s="49">
        <v>45412</v>
      </c>
      <c r="K20" s="48">
        <f t="shared" si="1"/>
        <v>21120</v>
      </c>
    </row>
    <row r="21" spans="1:11">
      <c r="A21" s="46" t="s">
        <v>255</v>
      </c>
      <c r="B21" s="46" t="s">
        <v>260</v>
      </c>
      <c r="C21" s="46">
        <v>150</v>
      </c>
      <c r="D21" s="46">
        <v>123</v>
      </c>
      <c r="E21" s="48">
        <f t="shared" si="0"/>
        <v>5535000</v>
      </c>
      <c r="G21" s="46" t="s">
        <v>261</v>
      </c>
      <c r="H21" s="46">
        <v>880</v>
      </c>
      <c r="I21" s="49">
        <v>45389</v>
      </c>
      <c r="J21" s="49">
        <v>45424</v>
      </c>
      <c r="K21" s="48">
        <f t="shared" si="1"/>
        <v>30800</v>
      </c>
    </row>
    <row r="22" spans="1:11">
      <c r="A22" s="46" t="s">
        <v>262</v>
      </c>
      <c r="B22" s="46" t="s">
        <v>263</v>
      </c>
      <c r="C22" s="46">
        <v>80</v>
      </c>
      <c r="D22" s="46">
        <v>48</v>
      </c>
      <c r="E22" s="48">
        <f t="shared" si="0"/>
        <v>1430400</v>
      </c>
      <c r="G22" s="46" t="s">
        <v>264</v>
      </c>
      <c r="H22" s="46">
        <v>880</v>
      </c>
      <c r="I22" s="49">
        <v>45389</v>
      </c>
      <c r="J22" s="49">
        <v>45409</v>
      </c>
      <c r="K22" s="48">
        <f t="shared" si="1"/>
        <v>17600</v>
      </c>
    </row>
    <row r="23" spans="1:11">
      <c r="A23" s="46" t="s">
        <v>265</v>
      </c>
      <c r="B23" s="46" t="s">
        <v>266</v>
      </c>
      <c r="C23" s="46">
        <v>30</v>
      </c>
      <c r="D23" s="46">
        <v>12</v>
      </c>
      <c r="E23" s="48">
        <f t="shared" si="0"/>
        <v>420000</v>
      </c>
      <c r="G23" s="46" t="s">
        <v>267</v>
      </c>
      <c r="H23" s="46">
        <v>880</v>
      </c>
      <c r="I23" s="49">
        <v>45391</v>
      </c>
      <c r="J23" s="49">
        <v>45425</v>
      </c>
      <c r="K23" s="48">
        <f t="shared" si="1"/>
        <v>29920</v>
      </c>
    </row>
    <row r="25" spans="1:11">
      <c r="A25" s="37" t="s">
        <v>268</v>
      </c>
    </row>
    <row r="26" spans="1:11">
      <c r="A26" s="46" t="s">
        <v>269</v>
      </c>
      <c r="B26" s="46" t="s">
        <v>192</v>
      </c>
      <c r="C26" s="46" t="s">
        <v>193</v>
      </c>
      <c r="D26" s="46" t="s">
        <v>194</v>
      </c>
      <c r="E26" s="46" t="s">
        <v>195</v>
      </c>
    </row>
    <row r="27" spans="1:11">
      <c r="A27" s="46" t="s">
        <v>270</v>
      </c>
      <c r="B27" s="48">
        <v>29800</v>
      </c>
      <c r="C27" s="48">
        <v>16000</v>
      </c>
      <c r="D27" s="48">
        <v>35000</v>
      </c>
      <c r="E27" s="48">
        <v>45000</v>
      </c>
    </row>
    <row r="29" spans="1:11">
      <c r="A29" s="37" t="s">
        <v>271</v>
      </c>
      <c r="B29" s="34" t="s">
        <v>272</v>
      </c>
    </row>
    <row r="30" spans="1:11">
      <c r="A30" s="46" t="s">
        <v>273</v>
      </c>
      <c r="B30" s="46" t="s">
        <v>274</v>
      </c>
      <c r="C30" s="46" t="s">
        <v>275</v>
      </c>
      <c r="D30" s="47" t="s">
        <v>276</v>
      </c>
    </row>
    <row r="31" spans="1:11">
      <c r="A31" s="46" t="s">
        <v>277</v>
      </c>
      <c r="B31" s="46">
        <v>1.62</v>
      </c>
      <c r="C31" s="46">
        <v>56</v>
      </c>
      <c r="D31" s="46" t="str">
        <f t="shared" ref="D31:D38" si="2">IF(C31/POWER(B31,2)&lt;19,"저체중",IF(C31/POWER(B31,2)&lt;23,"정상","과체중"))</f>
        <v>정상</v>
      </c>
    </row>
    <row r="32" spans="1:11">
      <c r="A32" s="46" t="s">
        <v>278</v>
      </c>
      <c r="B32" s="46">
        <v>1.76</v>
      </c>
      <c r="C32" s="46">
        <v>76</v>
      </c>
      <c r="D32" s="46" t="str">
        <f t="shared" si="2"/>
        <v>과체중</v>
      </c>
    </row>
    <row r="33" spans="1:4">
      <c r="A33" s="46" t="s">
        <v>279</v>
      </c>
      <c r="B33" s="46">
        <v>1.82</v>
      </c>
      <c r="C33" s="46">
        <v>73</v>
      </c>
      <c r="D33" s="46" t="str">
        <f t="shared" si="2"/>
        <v>정상</v>
      </c>
    </row>
    <row r="34" spans="1:4">
      <c r="A34" s="46" t="s">
        <v>280</v>
      </c>
      <c r="B34" s="46">
        <v>1.58</v>
      </c>
      <c r="C34" s="46">
        <v>60</v>
      </c>
      <c r="D34" s="46" t="str">
        <f t="shared" si="2"/>
        <v>과체중</v>
      </c>
    </row>
    <row r="35" spans="1:4">
      <c r="A35" s="46" t="s">
        <v>281</v>
      </c>
      <c r="B35" s="46">
        <v>1.75</v>
      </c>
      <c r="C35" s="46">
        <v>56</v>
      </c>
      <c r="D35" s="46" t="str">
        <f t="shared" si="2"/>
        <v>저체중</v>
      </c>
    </row>
    <row r="36" spans="1:4">
      <c r="A36" s="46" t="s">
        <v>282</v>
      </c>
      <c r="B36" s="46">
        <v>1.66</v>
      </c>
      <c r="C36" s="46">
        <v>65</v>
      </c>
      <c r="D36" s="46" t="str">
        <f t="shared" si="2"/>
        <v>과체중</v>
      </c>
    </row>
    <row r="37" spans="1:4">
      <c r="A37" s="46" t="s">
        <v>283</v>
      </c>
      <c r="B37" s="46">
        <v>1.78</v>
      </c>
      <c r="C37" s="46">
        <v>72</v>
      </c>
      <c r="D37" s="46" t="str">
        <f t="shared" si="2"/>
        <v>정상</v>
      </c>
    </row>
    <row r="38" spans="1:4">
      <c r="A38" s="46" t="s">
        <v>284</v>
      </c>
      <c r="B38" s="46">
        <v>1.63</v>
      </c>
      <c r="C38" s="46">
        <v>48</v>
      </c>
      <c r="D38" s="46" t="str">
        <f t="shared" si="2"/>
        <v>저체중</v>
      </c>
    </row>
  </sheetData>
  <mergeCells count="1">
    <mergeCell ref="F10:I1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D12"/>
  <sheetViews>
    <sheetView workbookViewId="0"/>
  </sheetViews>
  <sheetFormatPr defaultRowHeight="16.5"/>
  <sheetData>
    <row r="2" spans="1:4">
      <c r="A2" t="s">
        <v>21</v>
      </c>
    </row>
    <row r="3" spans="1:4">
      <c r="A3" s="1" t="s">
        <v>2</v>
      </c>
      <c r="B3" s="1" t="s">
        <v>4</v>
      </c>
      <c r="C3" s="1" t="s">
        <v>173</v>
      </c>
      <c r="D3" s="1" t="s">
        <v>6</v>
      </c>
    </row>
    <row r="4" spans="1:4">
      <c r="A4" s="5">
        <v>0.2</v>
      </c>
      <c r="B4" s="5">
        <v>0.3</v>
      </c>
      <c r="C4" s="5">
        <v>0.2</v>
      </c>
      <c r="D4" s="5">
        <v>0.3</v>
      </c>
    </row>
    <row r="6" spans="1:4">
      <c r="A6" t="s">
        <v>174</v>
      </c>
    </row>
    <row r="7" spans="1:4">
      <c r="A7" s="1" t="s">
        <v>2</v>
      </c>
      <c r="B7" s="3">
        <v>70.000000000000085</v>
      </c>
    </row>
    <row r="8" spans="1:4">
      <c r="A8" s="1" t="s">
        <v>4</v>
      </c>
      <c r="B8" s="3">
        <v>75</v>
      </c>
    </row>
    <row r="9" spans="1:4">
      <c r="A9" s="1" t="s">
        <v>173</v>
      </c>
      <c r="B9" s="3">
        <v>85</v>
      </c>
    </row>
    <row r="10" spans="1:4">
      <c r="A10" s="1" t="s">
        <v>6</v>
      </c>
      <c r="B10" s="3">
        <v>74.999999999999943</v>
      </c>
    </row>
    <row r="11" spans="1:4">
      <c r="A11" s="1" t="s">
        <v>7</v>
      </c>
      <c r="B11" s="3">
        <f>B7*A4+B8*B4+B9*C4+B10*D4</f>
        <v>76</v>
      </c>
    </row>
    <row r="12" spans="1:4">
      <c r="A12" s="6" t="s">
        <v>22</v>
      </c>
      <c r="B12" s="7">
        <f>B11*5/100</f>
        <v>3.8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22"/>
  <sheetViews>
    <sheetView workbookViewId="0"/>
  </sheetViews>
  <sheetFormatPr defaultRowHeight="16.5"/>
  <cols>
    <col min="1" max="1" width="15.625" customWidth="1"/>
    <col min="2" max="4" width="10.625" customWidth="1"/>
    <col min="6" max="6" width="15.625" customWidth="1"/>
    <col min="7" max="9" width="10.625" customWidth="1"/>
  </cols>
  <sheetData>
    <row r="1" spans="1:9" ht="26.25">
      <c r="A1" s="19" t="s">
        <v>175</v>
      </c>
      <c r="B1" s="20"/>
      <c r="C1" s="20"/>
      <c r="D1" s="20"/>
      <c r="E1" s="19"/>
      <c r="F1" s="19"/>
      <c r="G1" s="20"/>
      <c r="H1" s="20"/>
      <c r="I1" s="20"/>
    </row>
    <row r="2" spans="1:9">
      <c r="A2" s="21"/>
      <c r="B2" s="22"/>
      <c r="C2" s="22"/>
      <c r="D2" s="22"/>
      <c r="E2" s="21"/>
      <c r="F2" s="23"/>
    </row>
    <row r="3" spans="1:9">
      <c r="A3" t="s">
        <v>287</v>
      </c>
      <c r="F3" t="s">
        <v>176</v>
      </c>
    </row>
    <row r="4" spans="1:9">
      <c r="A4" s="24" t="s">
        <v>25</v>
      </c>
      <c r="B4" s="25" t="s">
        <v>177</v>
      </c>
      <c r="C4" s="25" t="s">
        <v>178</v>
      </c>
      <c r="D4" s="25" t="s">
        <v>179</v>
      </c>
      <c r="F4" s="24" t="s">
        <v>25</v>
      </c>
      <c r="G4" s="25" t="s">
        <v>177</v>
      </c>
      <c r="H4" s="25" t="s">
        <v>178</v>
      </c>
      <c r="I4" s="25" t="s">
        <v>179</v>
      </c>
    </row>
    <row r="5" spans="1:9">
      <c r="A5" s="3" t="s">
        <v>180</v>
      </c>
      <c r="B5" s="26">
        <v>10280</v>
      </c>
      <c r="C5" s="26">
        <v>8480</v>
      </c>
      <c r="D5" s="26">
        <v>8620</v>
      </c>
      <c r="F5" s="3" t="s">
        <v>185</v>
      </c>
      <c r="G5" s="27">
        <v>7260</v>
      </c>
      <c r="H5" s="27">
        <v>8260</v>
      </c>
      <c r="I5" s="27">
        <v>12453.333333333334</v>
      </c>
    </row>
    <row r="6" spans="1:9">
      <c r="A6" s="3" t="s">
        <v>181</v>
      </c>
      <c r="B6" s="26">
        <v>8680</v>
      </c>
      <c r="C6" s="26">
        <v>13260</v>
      </c>
      <c r="D6" s="26">
        <v>12560</v>
      </c>
      <c r="F6" s="3" t="s">
        <v>183</v>
      </c>
      <c r="G6" s="27">
        <v>6880</v>
      </c>
      <c r="H6" s="27">
        <v>4926.666666666667</v>
      </c>
      <c r="I6" s="27">
        <v>4893.333333333333</v>
      </c>
    </row>
    <row r="7" spans="1:9">
      <c r="A7" s="3" t="s">
        <v>182</v>
      </c>
      <c r="B7" s="26">
        <v>8540</v>
      </c>
      <c r="C7" s="26">
        <v>8640</v>
      </c>
      <c r="D7" s="26">
        <v>8620</v>
      </c>
      <c r="F7" s="3" t="s">
        <v>184</v>
      </c>
      <c r="G7" s="27">
        <v>9240</v>
      </c>
      <c r="H7" s="27">
        <v>14033.333333333334</v>
      </c>
      <c r="I7" s="27">
        <v>11240</v>
      </c>
    </row>
    <row r="8" spans="1:9">
      <c r="A8" s="3" t="s">
        <v>9</v>
      </c>
      <c r="B8" s="26">
        <v>3260</v>
      </c>
      <c r="C8" s="26">
        <v>3160</v>
      </c>
      <c r="D8" s="26">
        <v>2320</v>
      </c>
      <c r="F8" s="3" t="s">
        <v>33</v>
      </c>
      <c r="G8" s="27">
        <v>6746.666666666667</v>
      </c>
      <c r="H8" s="27">
        <v>7520</v>
      </c>
      <c r="I8" s="27">
        <v>10580</v>
      </c>
    </row>
    <row r="10" spans="1:9">
      <c r="A10" t="s">
        <v>288</v>
      </c>
    </row>
    <row r="11" spans="1:9">
      <c r="A11" s="24" t="s">
        <v>25</v>
      </c>
      <c r="B11" s="25" t="s">
        <v>177</v>
      </c>
      <c r="C11" s="25" t="s">
        <v>178</v>
      </c>
      <c r="D11" s="25" t="s">
        <v>179</v>
      </c>
    </row>
    <row r="12" spans="1:9">
      <c r="A12" s="3" t="s">
        <v>9</v>
      </c>
      <c r="B12" s="26">
        <v>11150</v>
      </c>
      <c r="C12" s="26">
        <v>5570</v>
      </c>
      <c r="D12" s="26">
        <v>17730</v>
      </c>
    </row>
    <row r="13" spans="1:9">
      <c r="A13" s="3" t="s">
        <v>181</v>
      </c>
      <c r="B13" s="26">
        <v>9350</v>
      </c>
      <c r="C13" s="26">
        <v>13750</v>
      </c>
      <c r="D13" s="26">
        <v>11350</v>
      </c>
    </row>
    <row r="14" spans="1:9">
      <c r="A14" s="3" t="s">
        <v>182</v>
      </c>
      <c r="B14" s="26">
        <v>3750</v>
      </c>
      <c r="C14" s="26">
        <v>8930</v>
      </c>
      <c r="D14" s="26">
        <v>19490</v>
      </c>
    </row>
    <row r="15" spans="1:9">
      <c r="A15" s="3" t="s">
        <v>180</v>
      </c>
      <c r="B15" s="26">
        <v>3530</v>
      </c>
      <c r="C15" s="26">
        <v>3090</v>
      </c>
      <c r="D15" s="26">
        <v>2630</v>
      </c>
    </row>
    <row r="17" spans="1:4">
      <c r="A17" t="s">
        <v>289</v>
      </c>
    </row>
    <row r="18" spans="1:4">
      <c r="A18" s="24" t="s">
        <v>25</v>
      </c>
      <c r="B18" s="25" t="s">
        <v>177</v>
      </c>
      <c r="C18" s="25" t="s">
        <v>178</v>
      </c>
      <c r="D18" s="25" t="s">
        <v>179</v>
      </c>
    </row>
    <row r="19" spans="1:4">
      <c r="A19" s="3" t="s">
        <v>182</v>
      </c>
      <c r="B19" s="26">
        <v>9490</v>
      </c>
      <c r="C19" s="26">
        <v>7210</v>
      </c>
      <c r="D19" s="26">
        <v>9250</v>
      </c>
    </row>
    <row r="20" spans="1:4">
      <c r="A20" s="3" t="s">
        <v>9</v>
      </c>
      <c r="B20" s="26">
        <v>5830</v>
      </c>
      <c r="C20" s="26">
        <v>13830</v>
      </c>
      <c r="D20" s="26">
        <v>11690</v>
      </c>
    </row>
    <row r="21" spans="1:4">
      <c r="A21" s="3" t="s">
        <v>180</v>
      </c>
      <c r="B21" s="26">
        <v>6830</v>
      </c>
      <c r="C21" s="26">
        <v>3210</v>
      </c>
      <c r="D21" s="26">
        <v>3430</v>
      </c>
    </row>
    <row r="22" spans="1:4">
      <c r="A22" s="3" t="s">
        <v>181</v>
      </c>
      <c r="B22" s="26">
        <v>9690</v>
      </c>
      <c r="C22" s="26">
        <v>15090</v>
      </c>
      <c r="D22" s="26">
        <v>9810</v>
      </c>
    </row>
  </sheetData>
  <sortState xmlns:xlrd2="http://schemas.microsoft.com/office/spreadsheetml/2017/richdata2" ref="F5:I8">
    <sortCondition ref="F4"/>
  </sortState>
  <dataConsolidate function="average" topLabels="1">
    <dataRefs count="3">
      <dataRef ref="A4:D8" sheet="분석작업-2"/>
      <dataRef ref="A11:D15" sheet="분석작업-2"/>
      <dataRef ref="A18:D22" sheet="분석작업-2"/>
    </dataRefs>
  </dataConsolid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4"/>
  <sheetViews>
    <sheetView workbookViewId="0"/>
  </sheetViews>
  <sheetFormatPr defaultRowHeight="16.5"/>
  <cols>
    <col min="1" max="6" width="11.625" customWidth="1"/>
  </cols>
  <sheetData>
    <row r="1" spans="1:6">
      <c r="A1" t="s">
        <v>57</v>
      </c>
    </row>
    <row r="2" spans="1:6">
      <c r="F2" s="8" t="s">
        <v>58</v>
      </c>
    </row>
    <row r="3" spans="1:6">
      <c r="A3" s="29" t="s">
        <v>59</v>
      </c>
      <c r="B3" s="29" t="s">
        <v>60</v>
      </c>
      <c r="C3" s="29">
        <v>2020</v>
      </c>
      <c r="D3" s="29">
        <v>2021</v>
      </c>
      <c r="E3" s="29">
        <v>2022</v>
      </c>
      <c r="F3" s="29">
        <v>2023</v>
      </c>
    </row>
    <row r="4" spans="1:6">
      <c r="A4" s="30" t="s">
        <v>61</v>
      </c>
      <c r="B4" s="30" t="s">
        <v>62</v>
      </c>
      <c r="C4" s="28">
        <v>19</v>
      </c>
      <c r="D4" s="28">
        <v>24</v>
      </c>
      <c r="E4" s="28" t="s">
        <v>63</v>
      </c>
      <c r="F4" s="28">
        <v>23</v>
      </c>
    </row>
    <row r="5" spans="1:6">
      <c r="A5" s="30" t="s">
        <v>64</v>
      </c>
      <c r="B5" s="30" t="s">
        <v>65</v>
      </c>
      <c r="C5" s="28">
        <v>43</v>
      </c>
      <c r="D5" s="28">
        <v>52</v>
      </c>
      <c r="E5" s="28">
        <v>75</v>
      </c>
      <c r="F5" s="28">
        <v>105</v>
      </c>
    </row>
    <row r="6" spans="1:6">
      <c r="A6" s="30" t="s">
        <v>66</v>
      </c>
      <c r="B6" s="30" t="s">
        <v>67</v>
      </c>
      <c r="C6" s="28">
        <v>37</v>
      </c>
      <c r="D6" s="28">
        <v>44</v>
      </c>
      <c r="E6" s="28">
        <v>43</v>
      </c>
      <c r="F6" s="28">
        <v>47</v>
      </c>
    </row>
    <row r="7" spans="1:6">
      <c r="A7" s="30" t="s">
        <v>68</v>
      </c>
      <c r="B7" s="30" t="s">
        <v>69</v>
      </c>
      <c r="C7" s="28">
        <v>105</v>
      </c>
      <c r="D7" s="28">
        <v>110</v>
      </c>
      <c r="E7" s="28">
        <v>121</v>
      </c>
      <c r="F7" s="28">
        <v>102</v>
      </c>
    </row>
    <row r="8" spans="1:6">
      <c r="A8" s="30" t="s">
        <v>70</v>
      </c>
      <c r="B8" s="30" t="s">
        <v>71</v>
      </c>
      <c r="C8" s="28">
        <v>38</v>
      </c>
      <c r="D8" s="28">
        <v>35</v>
      </c>
      <c r="E8" s="28">
        <v>41</v>
      </c>
      <c r="F8" s="28">
        <v>38</v>
      </c>
    </row>
    <row r="9" spans="1:6">
      <c r="A9" s="30" t="s">
        <v>72</v>
      </c>
      <c r="B9" s="30" t="s">
        <v>73</v>
      </c>
      <c r="C9" s="28">
        <v>5</v>
      </c>
      <c r="D9" s="28">
        <v>9</v>
      </c>
      <c r="E9" s="28">
        <v>12</v>
      </c>
      <c r="F9" s="28">
        <v>12</v>
      </c>
    </row>
    <row r="10" spans="1:6">
      <c r="A10" s="30" t="s">
        <v>64</v>
      </c>
      <c r="B10" s="30" t="s">
        <v>74</v>
      </c>
      <c r="C10" s="28">
        <v>25</v>
      </c>
      <c r="D10" s="28">
        <v>31</v>
      </c>
      <c r="E10" s="28">
        <v>32</v>
      </c>
      <c r="F10" s="28">
        <v>35</v>
      </c>
    </row>
    <row r="11" spans="1:6">
      <c r="A11" s="30" t="s">
        <v>72</v>
      </c>
      <c r="B11" s="30" t="s">
        <v>75</v>
      </c>
      <c r="C11" s="28">
        <v>24</v>
      </c>
      <c r="D11" s="28" t="s">
        <v>63</v>
      </c>
      <c r="E11" s="28">
        <v>27</v>
      </c>
      <c r="F11" s="28">
        <v>29</v>
      </c>
    </row>
    <row r="12" spans="1:6">
      <c r="A12" s="30" t="s">
        <v>61</v>
      </c>
      <c r="B12" s="30" t="s">
        <v>76</v>
      </c>
      <c r="C12" s="28" t="s">
        <v>63</v>
      </c>
      <c r="D12" s="28">
        <v>15</v>
      </c>
      <c r="E12" s="28">
        <v>16</v>
      </c>
      <c r="F12" s="28">
        <v>18</v>
      </c>
    </row>
    <row r="13" spans="1:6">
      <c r="A13" s="30" t="s">
        <v>77</v>
      </c>
      <c r="B13" s="30" t="s">
        <v>78</v>
      </c>
      <c r="C13" s="28">
        <v>47</v>
      </c>
      <c r="D13" s="28">
        <v>45</v>
      </c>
      <c r="E13" s="28">
        <v>41</v>
      </c>
      <c r="F13" s="28">
        <v>42</v>
      </c>
    </row>
    <row r="14" spans="1:6">
      <c r="A14" s="30" t="s">
        <v>66</v>
      </c>
      <c r="B14" s="30" t="s">
        <v>79</v>
      </c>
      <c r="C14" s="28">
        <v>52</v>
      </c>
      <c r="D14" s="28">
        <v>45</v>
      </c>
      <c r="E14" s="28">
        <v>43</v>
      </c>
      <c r="F14" s="28">
        <v>46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테두리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G10"/>
  <sheetViews>
    <sheetView workbookViewId="0"/>
  </sheetViews>
  <sheetFormatPr defaultRowHeight="16.5"/>
  <cols>
    <col min="2" max="2" width="12.375" bestFit="1" customWidth="1"/>
  </cols>
  <sheetData>
    <row r="2" spans="1:7">
      <c r="A2" s="1" t="s">
        <v>0</v>
      </c>
      <c r="B2" s="1" t="s">
        <v>1</v>
      </c>
      <c r="C2" s="1" t="s">
        <v>2</v>
      </c>
      <c r="D2" s="1" t="s">
        <v>3</v>
      </c>
      <c r="E2" s="1" t="s">
        <v>5</v>
      </c>
      <c r="F2" s="1" t="s">
        <v>6</v>
      </c>
      <c r="G2" s="2" t="s">
        <v>7</v>
      </c>
    </row>
    <row r="3" spans="1:7">
      <c r="A3" s="1" t="s">
        <v>8</v>
      </c>
      <c r="B3" s="3" t="s">
        <v>9</v>
      </c>
      <c r="C3" s="3">
        <v>13</v>
      </c>
      <c r="D3" s="3">
        <v>11</v>
      </c>
      <c r="E3" s="3">
        <v>23</v>
      </c>
      <c r="F3" s="3">
        <v>30</v>
      </c>
      <c r="G3" s="4">
        <v>77</v>
      </c>
    </row>
    <row r="4" spans="1:7">
      <c r="A4" s="1" t="s">
        <v>10</v>
      </c>
      <c r="B4" s="3" t="s">
        <v>11</v>
      </c>
      <c r="C4" s="3">
        <v>19</v>
      </c>
      <c r="D4" s="3">
        <v>10</v>
      </c>
      <c r="E4" s="3">
        <v>16</v>
      </c>
      <c r="F4" s="3">
        <v>26</v>
      </c>
      <c r="G4" s="4">
        <v>71</v>
      </c>
    </row>
    <row r="5" spans="1:7">
      <c r="A5" s="1" t="s">
        <v>12</v>
      </c>
      <c r="B5" s="3" t="s">
        <v>13</v>
      </c>
      <c r="C5" s="3">
        <v>14</v>
      </c>
      <c r="D5" s="3">
        <v>11</v>
      </c>
      <c r="E5" s="3">
        <v>15</v>
      </c>
      <c r="F5" s="3">
        <v>25</v>
      </c>
      <c r="G5" s="4">
        <v>65</v>
      </c>
    </row>
    <row r="6" spans="1:7">
      <c r="A6" s="1" t="s">
        <v>14</v>
      </c>
      <c r="B6" s="3" t="s">
        <v>11</v>
      </c>
      <c r="C6" s="3">
        <v>20</v>
      </c>
      <c r="D6" s="3">
        <v>15</v>
      </c>
      <c r="E6" s="3">
        <v>21</v>
      </c>
      <c r="F6" s="3">
        <v>15</v>
      </c>
      <c r="G6" s="4">
        <v>71</v>
      </c>
    </row>
    <row r="7" spans="1:7">
      <c r="A7" s="1" t="s">
        <v>15</v>
      </c>
      <c r="B7" s="3" t="s">
        <v>16</v>
      </c>
      <c r="C7" s="3">
        <v>10</v>
      </c>
      <c r="D7" s="3">
        <v>15</v>
      </c>
      <c r="E7" s="3">
        <v>22</v>
      </c>
      <c r="F7" s="3">
        <v>27</v>
      </c>
      <c r="G7" s="4">
        <v>74</v>
      </c>
    </row>
    <row r="8" spans="1:7">
      <c r="A8" s="1" t="s">
        <v>17</v>
      </c>
      <c r="B8" s="3" t="s">
        <v>18</v>
      </c>
      <c r="C8" s="3">
        <v>14</v>
      </c>
      <c r="D8" s="3">
        <v>12</v>
      </c>
      <c r="E8" s="3">
        <v>27</v>
      </c>
      <c r="F8" s="3">
        <v>28</v>
      </c>
      <c r="G8" s="4">
        <v>81</v>
      </c>
    </row>
    <row r="9" spans="1:7">
      <c r="A9" s="1" t="s">
        <v>19</v>
      </c>
      <c r="B9" s="3" t="s">
        <v>9</v>
      </c>
      <c r="C9" s="3">
        <v>16</v>
      </c>
      <c r="D9" s="3">
        <v>19</v>
      </c>
      <c r="E9" s="3">
        <v>15</v>
      </c>
      <c r="F9" s="3">
        <v>23</v>
      </c>
      <c r="G9" s="4">
        <v>73</v>
      </c>
    </row>
    <row r="10" spans="1:7">
      <c r="A10" s="1" t="s">
        <v>20</v>
      </c>
      <c r="B10" s="3" t="s">
        <v>11</v>
      </c>
      <c r="C10" s="3">
        <v>18</v>
      </c>
      <c r="D10" s="3">
        <v>13</v>
      </c>
      <c r="E10" s="3">
        <v>16</v>
      </c>
      <c r="F10" s="3">
        <v>23</v>
      </c>
      <c r="G10" s="4">
        <v>70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2021-09-01T10:05:05Z</dcterms:created>
  <dcterms:modified xsi:type="dcterms:W3CDTF">2024-02-06T14:53:51Z</dcterms:modified>
</cp:coreProperties>
</file>