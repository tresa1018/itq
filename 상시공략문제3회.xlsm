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/>
  <mc:AlternateContent xmlns:mc="http://schemas.openxmlformats.org/markup-compatibility/2006">
    <mc:Choice Requires="x15">
      <x15ac:absPath xmlns:x15ac="http://schemas.microsoft.com/office/spreadsheetml/2010/11/ac" url="C:\tresa\2024_컴활\6826(실기)\2024컴활2급(상시)\상시공략문제\"/>
    </mc:Choice>
  </mc:AlternateContent>
  <xr:revisionPtr revIDLastSave="0" documentId="13_ncr:1_{95D07046-40FF-4FD0-A4C6-109395A0A580}" xr6:coauthVersionLast="47" xr6:coauthVersionMax="47" xr10:uidLastSave="{00000000-0000-0000-0000-000000000000}"/>
  <bookViews>
    <workbookView xWindow="-108" yWindow="-108" windowWidth="23256" windowHeight="12576" tabRatio="896" activeTab="3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10" r:id="rId6"/>
    <sheet name="매크로작업" sheetId="6" r:id="rId7"/>
    <sheet name="차트작업" sheetId="11" r:id="rId8"/>
  </sheet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 a="1"/>
  <c r="D5" i="3" s="1"/>
  <c r="D6" i="3" a="1"/>
  <c r="D6" i="3" s="1"/>
  <c r="D7" i="3" a="1"/>
  <c r="D7" i="3" s="1"/>
  <c r="D8" i="3" a="1"/>
  <c r="D8" i="3"/>
  <c r="D9" i="3" a="1"/>
  <c r="D9" i="3" s="1"/>
  <c r="D10" i="3" a="1"/>
  <c r="D10" i="3"/>
  <c r="D4" i="3" a="1"/>
  <c r="D4" i="3" s="1"/>
  <c r="F5" i="6" l="1"/>
  <c r="F6" i="6"/>
  <c r="F7" i="6"/>
  <c r="F8" i="6"/>
  <c r="F9" i="6"/>
  <c r="F10" i="6"/>
  <c r="F11" i="6"/>
  <c r="F12" i="6"/>
  <c r="F13" i="6"/>
  <c r="F4" i="6"/>
  <c r="D22" i="10"/>
  <c r="C22" i="10"/>
  <c r="D15" i="10"/>
  <c r="C15" i="10"/>
  <c r="D9" i="10"/>
  <c r="D24" i="10" s="1"/>
  <c r="C9" i="10"/>
  <c r="C24" i="10" s="1"/>
  <c r="E23" i="10"/>
  <c r="E16" i="10"/>
  <c r="E10" i="10"/>
  <c r="E25" i="10" s="1"/>
  <c r="C28" i="3"/>
  <c r="B28" i="3"/>
  <c r="A28" i="3"/>
  <c r="J4" i="3"/>
  <c r="J5" i="3"/>
  <c r="J6" i="3"/>
  <c r="J7" i="3"/>
  <c r="J8" i="3"/>
  <c r="J9" i="3"/>
  <c r="J10" i="3"/>
  <c r="J11" i="3"/>
  <c r="J12" i="3"/>
  <c r="J3" i="3"/>
  <c r="E5" i="3"/>
  <c r="E6" i="3"/>
  <c r="E7" i="3"/>
  <c r="E8" i="3"/>
  <c r="E9" i="3"/>
  <c r="E10" i="3"/>
  <c r="E4" i="3"/>
  <c r="D22" i="3"/>
  <c r="D21" i="3"/>
  <c r="D20" i="3"/>
  <c r="D19" i="3"/>
  <c r="D18" i="3"/>
  <c r="D17" i="3"/>
  <c r="D16" i="3"/>
  <c r="D15" i="3"/>
  <c r="D14" i="3"/>
  <c r="G19" i="4" l="1"/>
  <c r="G18" i="4" l="1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<sst xmlns="http://schemas.openxmlformats.org/spreadsheetml/2006/main" count="347" uniqueCount="252">
  <si>
    <t>작성일 :</t>
    <phoneticPr fontId="1" type="noConversion"/>
  </si>
  <si>
    <t>지역</t>
    <phoneticPr fontId="1" type="noConversion"/>
  </si>
  <si>
    <t>담당자</t>
    <phoneticPr fontId="1" type="noConversion"/>
  </si>
  <si>
    <t>제품 생산현황</t>
  </si>
  <si>
    <t>생산일자</t>
    <phoneticPr fontId="1" type="noConversion"/>
  </si>
  <si>
    <t>제품코드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</si>
  <si>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</si>
  <si>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</si>
  <si>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</si>
  <si>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</si>
  <si>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신청인원</t>
    <phoneticPr fontId="1" type="noConversion"/>
  </si>
  <si>
    <t>서울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</si>
  <si>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</si>
  <si>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</si>
  <si>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</si>
  <si>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</si>
  <si>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</si>
  <si>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</si>
  <si>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강형중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</si>
  <si>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</si>
  <si>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</si>
  <si>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</si>
  <si>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</si>
  <si>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</si>
  <si>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</si>
  <si>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</si>
  <si>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</si>
  <si>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</si>
  <si>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</si>
  <si>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</si>
  <si>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현금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</si>
  <si>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</si>
  <si>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</si>
  <si>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</si>
  <si>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김동현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</si>
  <si>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</si>
  <si>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</si>
  <si>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</si>
  <si>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</si>
  <si>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카드</t>
    <phoneticPr fontId="1" type="noConversion"/>
  </si>
  <si>
    <t>충청도</t>
    <phoneticPr fontId="1" type="noConversion"/>
  </si>
  <si>
    <t>이찬성</t>
    <phoneticPr fontId="1" type="noConversion"/>
  </si>
  <si>
    <t>지역별 미수금 현황</t>
    <phoneticPr fontId="1" type="noConversion"/>
  </si>
  <si>
    <t>고객코드</t>
    <phoneticPr fontId="1" type="noConversion"/>
  </si>
  <si>
    <t>고객등급</t>
    <phoneticPr fontId="1" type="noConversion"/>
  </si>
  <si>
    <t>대출종류</t>
    <phoneticPr fontId="1" type="noConversion"/>
  </si>
  <si>
    <t>대출일자</t>
    <phoneticPr fontId="1" type="noConversion"/>
  </si>
  <si>
    <t>대출기간(월)</t>
    <phoneticPr fontId="1" type="noConversion"/>
  </si>
  <si>
    <t>대출금액</t>
    <phoneticPr fontId="1" type="noConversion"/>
  </si>
  <si>
    <t>A-100001</t>
    <phoneticPr fontId="1" type="noConversion"/>
  </si>
  <si>
    <t>일반</t>
    <phoneticPr fontId="1" type="noConversion"/>
  </si>
  <si>
    <t>서민지원대출</t>
    <phoneticPr fontId="1" type="noConversion"/>
  </si>
  <si>
    <t>A-100002</t>
    <phoneticPr fontId="1" type="noConversion"/>
  </si>
  <si>
    <t>골드</t>
    <phoneticPr fontId="1" type="noConversion"/>
  </si>
  <si>
    <t>주택담보대출</t>
    <phoneticPr fontId="1" type="noConversion"/>
  </si>
  <si>
    <t>A-100003</t>
    <phoneticPr fontId="1" type="noConversion"/>
  </si>
  <si>
    <t>실버</t>
    <phoneticPr fontId="1" type="noConversion"/>
  </si>
  <si>
    <t>A-100004</t>
    <phoneticPr fontId="1" type="noConversion"/>
  </si>
  <si>
    <t>VIP</t>
    <phoneticPr fontId="1" type="noConversion"/>
  </si>
  <si>
    <t>신용대출</t>
    <phoneticPr fontId="1" type="noConversion"/>
  </si>
  <si>
    <t>A-100005</t>
    <phoneticPr fontId="1" type="noConversion"/>
  </si>
  <si>
    <t>창업지원대출</t>
    <phoneticPr fontId="1" type="noConversion"/>
  </si>
  <si>
    <t>A-100006</t>
    <phoneticPr fontId="1" type="noConversion"/>
  </si>
  <si>
    <t>A-100007</t>
    <phoneticPr fontId="1" type="noConversion"/>
  </si>
  <si>
    <t>A-100008</t>
    <phoneticPr fontId="1" type="noConversion"/>
  </si>
  <si>
    <t>A-100009</t>
    <phoneticPr fontId="1" type="noConversion"/>
  </si>
  <si>
    <t>A-100010</t>
    <phoneticPr fontId="1" type="noConversion"/>
  </si>
  <si>
    <t>주택담보대출</t>
    <phoneticPr fontId="1" type="noConversion"/>
  </si>
  <si>
    <t>A-100011</t>
    <phoneticPr fontId="1" type="noConversion"/>
  </si>
  <si>
    <t>A-100012</t>
  </si>
  <si>
    <t>A-100013</t>
  </si>
  <si>
    <t>A-100014</t>
  </si>
  <si>
    <t>A-100015</t>
  </si>
  <si>
    <t>A-100016</t>
  </si>
  <si>
    <t>A-100017</t>
  </si>
  <si>
    <t>VIP</t>
    <phoneticPr fontId="1" type="noConversion"/>
  </si>
  <si>
    <t>일반</t>
    <phoneticPr fontId="1" type="noConversion"/>
  </si>
  <si>
    <t>실버</t>
    <phoneticPr fontId="1" type="noConversion"/>
  </si>
  <si>
    <t>신용대출</t>
    <phoneticPr fontId="1" type="noConversion"/>
  </si>
  <si>
    <t>주택담보대출</t>
    <phoneticPr fontId="1" type="noConversion"/>
  </si>
  <si>
    <t>주택담보대출</t>
    <phoneticPr fontId="1" type="noConversion"/>
  </si>
  <si>
    <t>서민지원대출</t>
    <phoneticPr fontId="1" type="noConversion"/>
  </si>
  <si>
    <t>건조기</t>
  </si>
  <si>
    <t>한주연</t>
    <phoneticPr fontId="1" type="noConversion"/>
  </si>
  <si>
    <t>이명희</t>
    <phoneticPr fontId="1" type="noConversion"/>
  </si>
  <si>
    <t>22SS409</t>
  </si>
  <si>
    <t>22SS505</t>
  </si>
  <si>
    <t>SS</t>
  </si>
  <si>
    <t>22CS920</t>
  </si>
  <si>
    <t>CS</t>
  </si>
  <si>
    <t>22PS534</t>
  </si>
  <si>
    <t>22PS225</t>
  </si>
  <si>
    <t>PS</t>
  </si>
  <si>
    <t>지점별 자동차 판매현황</t>
    <phoneticPr fontId="6" type="noConversion"/>
  </si>
  <si>
    <t>사원코드</t>
    <phoneticPr fontId="6" type="noConversion"/>
  </si>
  <si>
    <t>지점</t>
    <phoneticPr fontId="6" type="noConversion"/>
  </si>
  <si>
    <t>전반기판매량</t>
    <phoneticPr fontId="6" type="noConversion"/>
  </si>
  <si>
    <t>후반기판매량</t>
    <phoneticPr fontId="6" type="noConversion"/>
  </si>
  <si>
    <t>총판매량</t>
    <phoneticPr fontId="1" type="noConversion"/>
  </si>
  <si>
    <t>서초</t>
    <phoneticPr fontId="1" type="noConversion"/>
  </si>
  <si>
    <t>KI-001</t>
  </si>
  <si>
    <t>KI-002</t>
  </si>
  <si>
    <t>KI-003</t>
  </si>
  <si>
    <t>KI-004</t>
  </si>
  <si>
    <t>KI-005</t>
  </si>
  <si>
    <t>KI-006</t>
  </si>
  <si>
    <t>KI-007</t>
  </si>
  <si>
    <t>KI-008</t>
  </si>
  <si>
    <t>KI-009</t>
  </si>
  <si>
    <t>KI-010</t>
  </si>
  <si>
    <t>KI-011</t>
  </si>
  <si>
    <t>KI-012</t>
  </si>
  <si>
    <t>KI-013</t>
  </si>
  <si>
    <t>KI-014</t>
  </si>
  <si>
    <t>서초</t>
    <phoneticPr fontId="1" type="noConversion"/>
  </si>
  <si>
    <t>사당</t>
  </si>
  <si>
    <t>대치</t>
  </si>
  <si>
    <t>생산공장</t>
    <phoneticPr fontId="1" type="noConversion"/>
  </si>
  <si>
    <t>안산</t>
  </si>
  <si>
    <t>평택</t>
  </si>
  <si>
    <t>ANS-001</t>
  </si>
  <si>
    <t>ANS-002</t>
  </si>
  <si>
    <t>POT-001</t>
  </si>
  <si>
    <t>POT-002</t>
  </si>
  <si>
    <t>ANS-001</t>
    <phoneticPr fontId="1" type="noConversion"/>
  </si>
  <si>
    <t>양말목 공예</t>
    <phoneticPr fontId="1" type="noConversion"/>
  </si>
  <si>
    <t>웹툰 창작</t>
    <phoneticPr fontId="1" type="noConversion"/>
  </si>
  <si>
    <t>인공지능</t>
    <phoneticPr fontId="1" type="noConversion"/>
  </si>
  <si>
    <t>제과제떡</t>
    <phoneticPr fontId="1" type="noConversion"/>
  </si>
  <si>
    <t>항공정비</t>
    <phoneticPr fontId="1" type="noConversion"/>
  </si>
  <si>
    <t>화장품과학</t>
    <phoneticPr fontId="1" type="noConversion"/>
  </si>
  <si>
    <t>메이커스</t>
    <phoneticPr fontId="1" type="noConversion"/>
  </si>
  <si>
    <t>북_메이킹</t>
    <phoneticPr fontId="1" type="noConversion"/>
  </si>
  <si>
    <t>분야</t>
    <phoneticPr fontId="1" type="noConversion"/>
  </si>
  <si>
    <t>진로체험학교 운영</t>
    <phoneticPr fontId="1" type="noConversion"/>
  </si>
  <si>
    <t>대상</t>
    <phoneticPr fontId="1" type="noConversion"/>
  </si>
  <si>
    <t>중고등학생</t>
    <phoneticPr fontId="1" type="noConversion"/>
  </si>
  <si>
    <t>고등학생</t>
    <phoneticPr fontId="1" type="noConversion"/>
  </si>
  <si>
    <t>드론</t>
    <phoneticPr fontId="1" type="noConversion"/>
  </si>
  <si>
    <t>앱개발</t>
    <phoneticPr fontId="1" type="noConversion"/>
  </si>
  <si>
    <t>수업일수</t>
    <phoneticPr fontId="1" type="noConversion"/>
  </si>
  <si>
    <t>재료비</t>
    <phoneticPr fontId="1" type="noConversion"/>
  </si>
  <si>
    <t>진료 기록 현황</t>
    <phoneticPr fontId="1" type="noConversion"/>
  </si>
  <si>
    <t>번호</t>
    <phoneticPr fontId="1" type="noConversion"/>
  </si>
  <si>
    <t>성명</t>
    <phoneticPr fontId="1" type="noConversion"/>
  </si>
  <si>
    <t>진찰료</t>
    <phoneticPr fontId="1" type="noConversion"/>
  </si>
  <si>
    <t>검사비</t>
    <phoneticPr fontId="1" type="noConversion"/>
  </si>
  <si>
    <t>총액</t>
    <phoneticPr fontId="1" type="noConversion"/>
  </si>
  <si>
    <t>김수진</t>
    <phoneticPr fontId="1" type="noConversion"/>
  </si>
  <si>
    <t>김영수</t>
    <phoneticPr fontId="1" type="noConversion"/>
  </si>
  <si>
    <t>박성철</t>
    <phoneticPr fontId="1" type="noConversion"/>
  </si>
  <si>
    <t>박미영</t>
    <phoneticPr fontId="1" type="noConversion"/>
  </si>
  <si>
    <t>이찬조</t>
    <phoneticPr fontId="1" type="noConversion"/>
  </si>
  <si>
    <t>강경욱</t>
    <phoneticPr fontId="1" type="noConversion"/>
  </si>
  <si>
    <t>윤정숙</t>
    <phoneticPr fontId="1" type="noConversion"/>
  </si>
  <si>
    <t>조성민</t>
    <phoneticPr fontId="1" type="noConversion"/>
  </si>
  <si>
    <t>심은정</t>
    <phoneticPr fontId="1" type="noConversion"/>
  </si>
  <si>
    <t>최성수</t>
    <phoneticPr fontId="1" type="noConversion"/>
  </si>
  <si>
    <t>상공은행 대출 현황표</t>
    <phoneticPr fontId="1" type="noConversion"/>
  </si>
  <si>
    <t>프랜차이즈 가맹점</t>
    <phoneticPr fontId="1" type="noConversion"/>
  </si>
  <si>
    <t>[표1]</t>
    <phoneticPr fontId="1" type="noConversion"/>
  </si>
  <si>
    <t>회원 가입 현황</t>
    <phoneticPr fontId="1" type="noConversion"/>
  </si>
  <si>
    <t>[표2]</t>
    <phoneticPr fontId="1" type="noConversion"/>
  </si>
  <si>
    <t>학생정보현황</t>
    <phoneticPr fontId="1" type="noConversion"/>
  </si>
  <si>
    <t>학생코드</t>
    <phoneticPr fontId="1" type="noConversion"/>
  </si>
  <si>
    <t>이름</t>
    <phoneticPr fontId="1" type="noConversion"/>
  </si>
  <si>
    <t>성별</t>
    <phoneticPr fontId="1" type="noConversion"/>
  </si>
  <si>
    <t>학과</t>
    <phoneticPr fontId="1" type="noConversion"/>
  </si>
  <si>
    <t>회원명</t>
    <phoneticPr fontId="1" type="noConversion"/>
  </si>
  <si>
    <t>가입일</t>
    <phoneticPr fontId="1" type="noConversion"/>
  </si>
  <si>
    <t>점수</t>
    <phoneticPr fontId="1" type="noConversion"/>
  </si>
  <si>
    <t>등급</t>
    <phoneticPr fontId="1" type="noConversion"/>
  </si>
  <si>
    <t>비고</t>
    <phoneticPr fontId="1" type="noConversion"/>
  </si>
  <si>
    <t>윤성철</t>
    <phoneticPr fontId="1" type="noConversion"/>
  </si>
  <si>
    <t>남자</t>
    <phoneticPr fontId="1" type="noConversion"/>
  </si>
  <si>
    <t>이은주</t>
    <phoneticPr fontId="1" type="noConversion"/>
  </si>
  <si>
    <t>여자</t>
    <phoneticPr fontId="1" type="noConversion"/>
  </si>
  <si>
    <t>채진아</t>
    <phoneticPr fontId="1" type="noConversion"/>
  </si>
  <si>
    <t>강상희</t>
    <phoneticPr fontId="1" type="noConversion"/>
  </si>
  <si>
    <t>하지율</t>
    <phoneticPr fontId="1" type="noConversion"/>
  </si>
  <si>
    <t>김정은</t>
    <phoneticPr fontId="1" type="noConversion"/>
  </si>
  <si>
    <t>김신애</t>
    <phoneticPr fontId="1" type="noConversion"/>
  </si>
  <si>
    <t>여자</t>
    <phoneticPr fontId="1" type="noConversion"/>
  </si>
  <si>
    <t>김동현</t>
    <phoneticPr fontId="1" type="noConversion"/>
  </si>
  <si>
    <t>한상훈</t>
    <phoneticPr fontId="1" type="noConversion"/>
  </si>
  <si>
    <t>남자</t>
    <phoneticPr fontId="1" type="noConversion"/>
  </si>
  <si>
    <t>민방식</t>
    <phoneticPr fontId="1" type="noConversion"/>
  </si>
  <si>
    <t>김계현</t>
    <phoneticPr fontId="1" type="noConversion"/>
  </si>
  <si>
    <t>안병욱</t>
    <phoneticPr fontId="1" type="noConversion"/>
  </si>
  <si>
    <t>최영국</t>
    <phoneticPr fontId="1" type="noConversion"/>
  </si>
  <si>
    <t>김수빈</t>
    <phoneticPr fontId="1" type="noConversion"/>
  </si>
  <si>
    <t>여자</t>
    <phoneticPr fontId="1" type="noConversion"/>
  </si>
  <si>
    <t>[표3]</t>
    <phoneticPr fontId="1" type="noConversion"/>
  </si>
  <si>
    <t>22PS015</t>
    <phoneticPr fontId="1" type="noConversion"/>
  </si>
  <si>
    <t>이가경</t>
    <phoneticPr fontId="1" type="noConversion"/>
  </si>
  <si>
    <t>여자</t>
    <phoneticPr fontId="1" type="noConversion"/>
  </si>
  <si>
    <t>대리점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</si>
  <si>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</si>
  <si>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</si>
  <si>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</si>
  <si>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도곡</t>
    <phoneticPr fontId="1" type="noConversion"/>
  </si>
  <si>
    <t>&lt;학과코드표&gt;</t>
    <phoneticPr fontId="1" type="noConversion"/>
  </si>
  <si>
    <t>세탁기</t>
    <phoneticPr fontId="1" type="noConversion"/>
  </si>
  <si>
    <t>코드</t>
    <phoneticPr fontId="1" type="noConversion"/>
  </si>
  <si>
    <t>학과</t>
    <phoneticPr fontId="1" type="noConversion"/>
  </si>
  <si>
    <t>TV</t>
    <phoneticPr fontId="1" type="noConversion"/>
  </si>
  <si>
    <t>인문과학</t>
    <phoneticPr fontId="1" type="noConversion"/>
  </si>
  <si>
    <t>사당</t>
    <phoneticPr fontId="1" type="noConversion"/>
  </si>
  <si>
    <t>정책과학</t>
    <phoneticPr fontId="1" type="noConversion"/>
  </si>
  <si>
    <t>세탁기</t>
    <phoneticPr fontId="1" type="noConversion"/>
  </si>
  <si>
    <t>사회과학</t>
    <phoneticPr fontId="1" type="noConversion"/>
  </si>
  <si>
    <t>TV</t>
    <phoneticPr fontId="1" type="noConversion"/>
  </si>
  <si>
    <t>성수</t>
    <phoneticPr fontId="1" type="noConversion"/>
  </si>
  <si>
    <t>성수</t>
    <phoneticPr fontId="1" type="noConversion"/>
  </si>
  <si>
    <t>세탁기</t>
    <phoneticPr fontId="1" type="noConversion"/>
  </si>
  <si>
    <t>대리점</t>
    <phoneticPr fontId="1" type="noConversion"/>
  </si>
  <si>
    <t>제품명</t>
    <phoneticPr fontId="1" type="noConversion"/>
  </si>
  <si>
    <t>도곡</t>
  </si>
  <si>
    <t>판매량합계</t>
    <phoneticPr fontId="1" type="noConversion"/>
  </si>
  <si>
    <t>건조기 판매금액 평균</t>
    <phoneticPr fontId="1" type="noConversion"/>
  </si>
  <si>
    <t>생년월일</t>
    <phoneticPr fontId="1" type="noConversion"/>
  </si>
  <si>
    <t>2024년 1월</t>
  </si>
  <si>
    <t>2024년 2월</t>
  </si>
  <si>
    <t>2024년 3월</t>
  </si>
  <si>
    <t>2024년 4월</t>
  </si>
  <si>
    <t>2024년 5월</t>
  </si>
  <si>
    <t>2024년 6월</t>
  </si>
  <si>
    <t>2024년 7월</t>
  </si>
  <si>
    <t>23SS697</t>
  </si>
  <si>
    <t>23CS394</t>
  </si>
  <si>
    <t>22CS236</t>
  </si>
  <si>
    <t>23PS062</t>
  </si>
  <si>
    <t>가전제품 판매 현황</t>
    <phoneticPr fontId="1" type="noConversion"/>
  </si>
  <si>
    <t>판매금액합계</t>
    <phoneticPr fontId="1" type="noConversion"/>
  </si>
  <si>
    <t>제품코드</t>
  </si>
  <si>
    <t>(모두)</t>
  </si>
  <si>
    <t>행 레이블</t>
  </si>
  <si>
    <t>총합계</t>
  </si>
  <si>
    <t>3월</t>
  </si>
  <si>
    <t>4월</t>
  </si>
  <si>
    <t>5월</t>
  </si>
  <si>
    <t>열 레이블</t>
  </si>
  <si>
    <t>합계 : 생산수량</t>
  </si>
  <si>
    <t>평균 : 불량수량</t>
  </si>
  <si>
    <t>대치 최대</t>
  </si>
  <si>
    <t>사당 최대</t>
  </si>
  <si>
    <t>서초 최대</t>
  </si>
  <si>
    <t>전체 최대값</t>
  </si>
  <si>
    <t>대치 평균</t>
  </si>
  <si>
    <t>사당 평균</t>
  </si>
  <si>
    <t>서초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</si>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</sst>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#,##0_ "/>
    <numFmt numFmtId="181" formatCode="yy\/mm\/dd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u/>
      <sz val="1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41" fontId="0" fillId="0" borderId="1" xfId="1" applyFont="1" applyFill="1" applyBorder="1" applyAlignment="1">
      <alignment horizontal="center" vertical="center"/>
    </xf>
    <xf numFmtId="14" fontId="0" fillId="0" borderId="1" xfId="1" applyNumberFormat="1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7" fontId="0" fillId="0" borderId="1" xfId="1" applyNumberFormat="1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42" fontId="0" fillId="0" borderId="1" xfId="1" applyNumberFormat="1" applyFont="1" applyBorder="1" applyAlignment="1">
      <alignment horizontal="right" vertical="center"/>
    </xf>
    <xf numFmtId="0" fontId="0" fillId="3" borderId="5" xfId="0" applyFill="1" applyBorder="1" applyAlignment="1">
      <alignment horizontal="distributed" vertical="center"/>
    </xf>
    <xf numFmtId="0" fontId="0" fillId="3" borderId="6" xfId="0" applyFill="1" applyBorder="1" applyAlignment="1">
      <alignment horizontal="distributed" vertical="center"/>
    </xf>
    <xf numFmtId="0" fontId="0" fillId="3" borderId="7" xfId="0" applyFill="1" applyBorder="1" applyAlignment="1">
      <alignment horizontal="distributed" vertical="center"/>
    </xf>
    <xf numFmtId="0" fontId="0" fillId="0" borderId="8" xfId="0" applyBorder="1" applyAlignment="1">
      <alignment horizontal="center" vertical="center"/>
    </xf>
    <xf numFmtId="42" fontId="0" fillId="0" borderId="9" xfId="1" applyNumberFormat="1" applyFon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2" fontId="0" fillId="0" borderId="11" xfId="1" applyNumberFormat="1" applyFont="1" applyBorder="1" applyAlignment="1">
      <alignment horizontal="right" vertical="center"/>
    </xf>
    <xf numFmtId="42" fontId="0" fillId="0" borderId="12" xfId="1" applyNumberFormat="1" applyFont="1" applyBorder="1" applyAlignment="1">
      <alignment horizontal="righ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00000000-0005-0000-0000-000003000000}"/>
  </cellStyles>
  <dxfs count="11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color rgb="FF0070C0"/>
      </font>
    </dxf>
    <dxf>
      <numFmt numFmtId="177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진로체험학교 분야별 신청인원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tx>
            <c:strRef>
              <c:f>차트작업!$E$3</c:f>
              <c:strCache>
                <c:ptCount val="1"/>
                <c:pt idx="0">
                  <c:v>신청인원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차트작업!$A$4:$A$13</c:f>
              <c:strCache>
                <c:ptCount val="10"/>
                <c:pt idx="0">
                  <c:v>양말목 공예</c:v>
                </c:pt>
                <c:pt idx="1">
                  <c:v>웹툰 창작</c:v>
                </c:pt>
                <c:pt idx="2">
                  <c:v>인공지능</c:v>
                </c:pt>
                <c:pt idx="3">
                  <c:v>제과제떡</c:v>
                </c:pt>
                <c:pt idx="4">
                  <c:v>항공정비</c:v>
                </c:pt>
                <c:pt idx="5">
                  <c:v>화장품과학</c:v>
                </c:pt>
                <c:pt idx="6">
                  <c:v>메이커스</c:v>
                </c:pt>
                <c:pt idx="7">
                  <c:v>북_메이킹</c:v>
                </c:pt>
                <c:pt idx="8">
                  <c:v>드론</c:v>
                </c:pt>
                <c:pt idx="9">
                  <c:v>앱개발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382</c:v>
                </c:pt>
                <c:pt idx="1">
                  <c:v>204</c:v>
                </c:pt>
                <c:pt idx="2">
                  <c:v>421</c:v>
                </c:pt>
                <c:pt idx="3">
                  <c:v>194</c:v>
                </c:pt>
                <c:pt idx="4">
                  <c:v>222</c:v>
                </c:pt>
                <c:pt idx="5">
                  <c:v>318</c:v>
                </c:pt>
                <c:pt idx="6">
                  <c:v>173</c:v>
                </c:pt>
                <c:pt idx="7">
                  <c:v>286</c:v>
                </c:pt>
                <c:pt idx="8">
                  <c:v>185</c:v>
                </c:pt>
                <c:pt idx="9">
                  <c:v>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7-4B68-9118-B4A6ACF9F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219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balanced" dir="t">
        <a:rot lat="0" lon="0" rev="8700000"/>
      </a:lightRig>
    </a:scene3d>
    <a:sp3d>
      <a:bevelT w="190500" h="38100"/>
    </a:sp3d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14</xdr:row>
          <xdr:rowOff>15240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14</xdr:row>
      <xdr:rowOff>0</xdr:rowOff>
    </xdr:from>
    <xdr:to>
      <xdr:col>5</xdr:col>
      <xdr:colOff>662940</xdr:colOff>
      <xdr:row>15</xdr:row>
      <xdr:rowOff>205740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A24F651C-54F2-5B42-481E-E5634625BFF0}"/>
            </a:ext>
          </a:extLst>
        </xdr:cNvPr>
        <xdr:cNvSpPr/>
      </xdr:nvSpPr>
      <xdr:spPr>
        <a:xfrm>
          <a:off x="2971800" y="3139440"/>
          <a:ext cx="1333500" cy="42672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5490.896417245371" createdVersion="8" refreshedVersion="8" minRefreshableVersion="3" recordCount="16" xr:uid="{7276AC8E-2968-41EF-9D9C-1B4BDB19AE3C}">
  <cacheSource type="worksheet">
    <worksheetSource ref="A3:G19" sheet="분석작업-1"/>
  </cacheSource>
  <cacheFields count="8">
    <cacheField name="생산일자" numFmtId="14">
      <sharedItems containsSemiMixedTypes="0" containsNonDate="0" containsDate="1" containsString="0" minDate="2025-03-03T00:00:00" maxDate="2025-05-31T00:00:00" count="16">
        <d v="2025-03-03T00:00:00"/>
        <d v="2025-03-10T00:00:00"/>
        <d v="2025-03-17T00:00:00"/>
        <d v="2025-03-24T00:00:00"/>
        <d v="2025-03-31T00:00:00"/>
        <d v="2025-04-02T00:00:00"/>
        <d v="2025-04-09T00:00:00"/>
        <d v="2025-04-16T00:00:00"/>
        <d v="2025-04-23T00:00:00"/>
        <d v="2025-04-30T00:00:00"/>
        <d v="2025-05-04T00:00:00"/>
        <d v="2025-05-11T00:00:00"/>
        <d v="2025-05-15T00:00:00"/>
        <d v="2025-05-21T00:00:00"/>
        <d v="2025-05-28T00:00:00"/>
        <d v="2025-05-30T00:00:00"/>
      </sharedItems>
      <fieldGroup par="7"/>
    </cacheField>
    <cacheField name="제품코드" numFmtId="0">
      <sharedItems count="4">
        <s v="ANS-001"/>
        <s v="POT-001"/>
        <s v="POT-002"/>
        <s v="ANS-002"/>
      </sharedItems>
    </cacheField>
    <cacheField name="생산공장" numFmtId="0">
      <sharedItems count="2">
        <s v="안산"/>
        <s v="평택"/>
      </sharedItems>
    </cacheField>
    <cacheField name="목표수량" numFmtId="0">
      <sharedItems containsSemiMixedTypes="0" containsString="0" containsNumber="1" containsInteger="1" minValue="1500" maxValue="2205"/>
    </cacheField>
    <cacheField name="생산수량" numFmtId="0">
      <sharedItems containsSemiMixedTypes="0" containsString="0" containsNumber="1" containsInteger="1" minValue="1350" maxValue="2194"/>
    </cacheField>
    <cacheField name="불량수량" numFmtId="0">
      <sharedItems containsSemiMixedTypes="0" containsString="0" containsNumber="1" containsInteger="1" minValue="6" maxValue="30"/>
    </cacheField>
    <cacheField name="불량률" numFmtId="10">
      <sharedItems containsSemiMixedTypes="0" containsString="0" containsNumber="1" minValue="2.7586206896551722E-3" maxValue="1.6860465116279071E-2"/>
    </cacheField>
    <cacheField name="개월(생산일자)" numFmtId="0" databaseField="0">
      <fieldGroup base="0">
        <rangePr groupBy="months" startDate="2025-03-03T00:00:00" endDate="2025-05-31T00:00:00"/>
        <groupItems count="14">
          <s v="&lt;2025-03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5-3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n v="1705"/>
    <n v="1977"/>
    <n v="13"/>
    <n v="6.5756196256954984E-3"/>
  </r>
  <r>
    <x v="1"/>
    <x v="1"/>
    <x v="1"/>
    <n v="2005"/>
    <n v="1947"/>
    <n v="30"/>
    <n v="1.5408320493066256E-2"/>
  </r>
  <r>
    <x v="2"/>
    <x v="2"/>
    <x v="1"/>
    <n v="1705"/>
    <n v="1777"/>
    <n v="22"/>
    <n v="1.2380416432189083E-2"/>
  </r>
  <r>
    <x v="3"/>
    <x v="3"/>
    <x v="0"/>
    <n v="1505"/>
    <n v="1620"/>
    <n v="17"/>
    <n v="1.0493827160493827E-2"/>
  </r>
  <r>
    <x v="4"/>
    <x v="0"/>
    <x v="0"/>
    <n v="2005"/>
    <n v="2175"/>
    <n v="6"/>
    <n v="2.7586206896551722E-3"/>
  </r>
  <r>
    <x v="5"/>
    <x v="2"/>
    <x v="1"/>
    <n v="2005"/>
    <n v="1926"/>
    <n v="9"/>
    <n v="4.6728971962616819E-3"/>
  </r>
  <r>
    <x v="6"/>
    <x v="1"/>
    <x v="1"/>
    <n v="2005"/>
    <n v="2194"/>
    <n v="23"/>
    <n v="1.0483135824977211E-2"/>
  </r>
  <r>
    <x v="7"/>
    <x v="2"/>
    <x v="1"/>
    <n v="2005"/>
    <n v="1720"/>
    <n v="29"/>
    <n v="1.6860465116279071E-2"/>
  </r>
  <r>
    <x v="8"/>
    <x v="0"/>
    <x v="0"/>
    <n v="2205"/>
    <n v="2041"/>
    <n v="15"/>
    <n v="7.3493385595296426E-3"/>
  </r>
  <r>
    <x v="9"/>
    <x v="2"/>
    <x v="1"/>
    <n v="1905"/>
    <n v="1726"/>
    <n v="7"/>
    <n v="4.0556199304750866E-3"/>
  </r>
  <r>
    <x v="10"/>
    <x v="3"/>
    <x v="0"/>
    <n v="1705"/>
    <n v="1755"/>
    <n v="15"/>
    <n v="8.5470085470085479E-3"/>
  </r>
  <r>
    <x v="11"/>
    <x v="1"/>
    <x v="1"/>
    <n v="2205"/>
    <n v="2077"/>
    <n v="20"/>
    <n v="9.6292729898892638E-3"/>
  </r>
  <r>
    <x v="12"/>
    <x v="0"/>
    <x v="0"/>
    <n v="2005"/>
    <n v="2062"/>
    <n v="12"/>
    <n v="5.8195926285160042E-3"/>
  </r>
  <r>
    <x v="13"/>
    <x v="1"/>
    <x v="1"/>
    <n v="2005"/>
    <n v="2114"/>
    <n v="7"/>
    <n v="3.3112582781456954E-3"/>
  </r>
  <r>
    <x v="14"/>
    <x v="3"/>
    <x v="0"/>
    <n v="1705"/>
    <n v="1757"/>
    <n v="8"/>
    <n v="4.5532157085941948E-3"/>
  </r>
  <r>
    <x v="15"/>
    <x v="0"/>
    <x v="0"/>
    <n v="1500"/>
    <n v="1350"/>
    <n v="15"/>
    <n v="1.111111111111111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9E7311-BF70-4F81-9F48-0F6A8CB9068C}" name="피벗 테이블1" cacheId="6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25:E31" firstHeaderRow="1" firstDataRow="3" firstDataCol="1" rowPageCount="1" colPageCount="1"/>
  <pivotFields count="8">
    <pivotField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showAll="0">
      <items count="5">
        <item x="0"/>
        <item x="3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dataField="1" showAll="0"/>
    <pivotField numFmtId="10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4">
    <i>
      <x v="3"/>
    </i>
    <i>
      <x v="4"/>
    </i>
    <i>
      <x v="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생산수량" fld="4" baseField="0" baseItem="0"/>
    <dataField name="평균 : 불량수량" fld="5" subtotal="average" baseField="8" baseItem="3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C8FBE2-2B29-4C2A-9006-D5F3B3C087E7}" name="표1" displayName="표1" ref="A3:E25" totalsRowShown="0" headerRowDxfId="0" dataDxfId="1" headerRowBorderDxfId="7" tableBorderDxfId="8">
  <autoFilter ref="A3:E25" xr:uid="{6FC8FBE2-2B29-4C2A-9006-D5F3B3C087E7}"/>
  <tableColumns count="5">
    <tableColumn id="1" xr3:uid="{B7E5EEAB-D01A-47EC-A637-0AE5AEAAB878}" name="사원코드" dataDxfId="6"/>
    <tableColumn id="2" xr3:uid="{E95DCD1D-58E8-4DEB-A070-2E6FB95BDD96}" name="지점" dataDxfId="5"/>
    <tableColumn id="3" xr3:uid="{FBED12F4-431F-4E0E-A034-94BB0F96573B}" name="전반기판매량" dataDxfId="4"/>
    <tableColumn id="4" xr3:uid="{E98B8D3F-5863-4D0A-8F60-51BDBE8869AC}" name="후반기판매량" dataDxfId="3"/>
    <tableColumn id="5" xr3:uid="{FC8AB687-4A86-4EBC-A44D-3FDE6A9C5A16}" name="총판매량" dataDxfId="2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7.399999999999999" x14ac:dyDescent="0.4"/>
  <sheetData>
    <row r="1" spans="1:1" x14ac:dyDescent="0.4">
      <c r="A1" t="s">
        <v>159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5"/>
  <sheetViews>
    <sheetView workbookViewId="0">
      <selection activeCell="K9" sqref="K9"/>
    </sheetView>
  </sheetViews>
  <sheetFormatPr defaultRowHeight="17.399999999999999" x14ac:dyDescent="0.4"/>
  <cols>
    <col min="3" max="3" width="13.296875" bestFit="1" customWidth="1"/>
    <col min="5" max="5" width="12.19921875" bestFit="1" customWidth="1"/>
    <col min="6" max="7" width="13.296875" bestFit="1" customWidth="1"/>
  </cols>
  <sheetData>
    <row r="1" spans="1:7" ht="27.6" x14ac:dyDescent="0.4">
      <c r="A1" s="24" t="s">
        <v>42</v>
      </c>
      <c r="B1" s="24"/>
      <c r="C1" s="24"/>
      <c r="D1" s="24"/>
      <c r="E1" s="24"/>
      <c r="F1" s="24"/>
      <c r="G1" s="24"/>
    </row>
    <row r="3" spans="1:7" ht="18" thickBot="1" x14ac:dyDescent="0.45">
      <c r="F3" s="1" t="s">
        <v>0</v>
      </c>
      <c r="G3" s="25">
        <v>45747</v>
      </c>
    </row>
    <row r="4" spans="1:7" x14ac:dyDescent="0.4">
      <c r="A4" s="27" t="s">
        <v>1</v>
      </c>
      <c r="B4" s="28" t="s">
        <v>2</v>
      </c>
      <c r="C4" s="28" t="s">
        <v>12</v>
      </c>
      <c r="D4" s="28" t="s">
        <v>13</v>
      </c>
      <c r="E4" s="28" t="s">
        <v>14</v>
      </c>
      <c r="F4" s="28" t="s">
        <v>15</v>
      </c>
      <c r="G4" s="29" t="s">
        <v>16</v>
      </c>
    </row>
    <row r="5" spans="1:7" x14ac:dyDescent="0.4">
      <c r="A5" s="30" t="s">
        <v>17</v>
      </c>
      <c r="B5" s="3" t="s">
        <v>18</v>
      </c>
      <c r="C5" s="26">
        <v>45000000</v>
      </c>
      <c r="D5" s="3" t="s">
        <v>19</v>
      </c>
      <c r="E5" s="26">
        <v>3600000</v>
      </c>
      <c r="F5" s="26">
        <v>30000000</v>
      </c>
      <c r="G5" s="31">
        <v>11400000</v>
      </c>
    </row>
    <row r="6" spans="1:7" x14ac:dyDescent="0.4">
      <c r="A6" s="30" t="s">
        <v>20</v>
      </c>
      <c r="B6" s="3" t="s">
        <v>21</v>
      </c>
      <c r="C6" s="26">
        <v>34000000</v>
      </c>
      <c r="D6" s="3" t="s">
        <v>19</v>
      </c>
      <c r="E6" s="26">
        <v>2700000</v>
      </c>
      <c r="F6" s="26">
        <v>30000000</v>
      </c>
      <c r="G6" s="31">
        <v>1300000</v>
      </c>
    </row>
    <row r="7" spans="1:7" x14ac:dyDescent="0.4">
      <c r="A7" s="30" t="s">
        <v>22</v>
      </c>
      <c r="B7" s="3" t="s">
        <v>23</v>
      </c>
      <c r="C7" s="26">
        <v>49800000</v>
      </c>
      <c r="D7" s="3" t="s">
        <v>19</v>
      </c>
      <c r="E7" s="26">
        <v>3900000</v>
      </c>
      <c r="F7" s="26">
        <v>45000000</v>
      </c>
      <c r="G7" s="31">
        <v>900000</v>
      </c>
    </row>
    <row r="8" spans="1:7" x14ac:dyDescent="0.4">
      <c r="A8" s="30" t="s">
        <v>24</v>
      </c>
      <c r="B8" s="3" t="s">
        <v>25</v>
      </c>
      <c r="C8" s="26">
        <v>28600000</v>
      </c>
      <c r="D8" s="3" t="s">
        <v>19</v>
      </c>
      <c r="E8" s="26">
        <v>2200000</v>
      </c>
      <c r="F8" s="26">
        <v>25000000</v>
      </c>
      <c r="G8" s="31">
        <v>1400000</v>
      </c>
    </row>
    <row r="9" spans="1:7" x14ac:dyDescent="0.4">
      <c r="A9" s="30" t="s">
        <v>26</v>
      </c>
      <c r="B9" s="3" t="s">
        <v>27</v>
      </c>
      <c r="C9" s="26">
        <v>36800000</v>
      </c>
      <c r="D9" s="3" t="s">
        <v>19</v>
      </c>
      <c r="E9" s="26">
        <v>2900000</v>
      </c>
      <c r="F9" s="26">
        <v>30000000</v>
      </c>
      <c r="G9" s="31">
        <v>3900000</v>
      </c>
    </row>
    <row r="10" spans="1:7" x14ac:dyDescent="0.4">
      <c r="A10" s="30" t="s">
        <v>28</v>
      </c>
      <c r="B10" s="3" t="s">
        <v>29</v>
      </c>
      <c r="C10" s="26">
        <v>54500000</v>
      </c>
      <c r="D10" s="3" t="s">
        <v>30</v>
      </c>
      <c r="E10" s="26">
        <v>4300000</v>
      </c>
      <c r="F10" s="26">
        <v>50000000</v>
      </c>
      <c r="G10" s="31">
        <v>200000</v>
      </c>
    </row>
    <row r="11" spans="1:7" x14ac:dyDescent="0.4">
      <c r="A11" s="30" t="s">
        <v>31</v>
      </c>
      <c r="B11" s="3" t="s">
        <v>32</v>
      </c>
      <c r="C11" s="26">
        <v>28000000</v>
      </c>
      <c r="D11" s="3" t="s">
        <v>19</v>
      </c>
      <c r="E11" s="26">
        <v>2200000</v>
      </c>
      <c r="F11" s="26">
        <v>20000000</v>
      </c>
      <c r="G11" s="31">
        <v>5800000</v>
      </c>
    </row>
    <row r="12" spans="1:7" x14ac:dyDescent="0.4">
      <c r="A12" s="30" t="s">
        <v>33</v>
      </c>
      <c r="B12" s="3" t="s">
        <v>34</v>
      </c>
      <c r="C12" s="26">
        <v>38500000</v>
      </c>
      <c r="D12" s="3" t="s">
        <v>19</v>
      </c>
      <c r="E12" s="26">
        <v>3000000</v>
      </c>
      <c r="F12" s="26">
        <v>33000000</v>
      </c>
      <c r="G12" s="31">
        <v>2500000</v>
      </c>
    </row>
    <row r="13" spans="1:7" x14ac:dyDescent="0.4">
      <c r="A13" s="30" t="s">
        <v>11</v>
      </c>
      <c r="B13" s="3" t="s">
        <v>35</v>
      </c>
      <c r="C13" s="26">
        <v>50000000</v>
      </c>
      <c r="D13" s="3" t="s">
        <v>36</v>
      </c>
      <c r="E13" s="26">
        <v>1500000</v>
      </c>
      <c r="F13" s="26">
        <v>45000000</v>
      </c>
      <c r="G13" s="31">
        <v>3500000</v>
      </c>
    </row>
    <row r="14" spans="1:7" x14ac:dyDescent="0.4">
      <c r="A14" s="30" t="s">
        <v>37</v>
      </c>
      <c r="B14" s="3" t="s">
        <v>38</v>
      </c>
      <c r="C14" s="26">
        <v>52000000</v>
      </c>
      <c r="D14" s="3" t="s">
        <v>39</v>
      </c>
      <c r="E14" s="26">
        <v>1500000</v>
      </c>
      <c r="F14" s="26">
        <v>40000000</v>
      </c>
      <c r="G14" s="31">
        <v>10500000</v>
      </c>
    </row>
    <row r="15" spans="1:7" ht="18" thickBot="1" x14ac:dyDescent="0.45">
      <c r="A15" s="32" t="s">
        <v>40</v>
      </c>
      <c r="B15" s="33" t="s">
        <v>41</v>
      </c>
      <c r="C15" s="34">
        <v>46800000</v>
      </c>
      <c r="D15" s="33" t="s">
        <v>39</v>
      </c>
      <c r="E15" s="34">
        <v>1400000</v>
      </c>
      <c r="F15" s="34">
        <v>42000000</v>
      </c>
      <c r="G15" s="35">
        <v>3400000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workbookViewId="0">
      <selection activeCell="J11" sqref="J11"/>
    </sheetView>
  </sheetViews>
  <sheetFormatPr defaultRowHeight="17.399999999999999" x14ac:dyDescent="0.4"/>
  <cols>
    <col min="1" max="1" width="10.19921875" customWidth="1"/>
    <col min="2" max="2" width="10.09765625" customWidth="1"/>
    <col min="3" max="3" width="12.3984375" bestFit="1" customWidth="1"/>
    <col min="4" max="4" width="10.59765625" bestFit="1" customWidth="1"/>
    <col min="5" max="5" width="11.69921875" bestFit="1" customWidth="1"/>
    <col min="6" max="6" width="12.69921875" bestFit="1" customWidth="1"/>
  </cols>
  <sheetData>
    <row r="1" spans="1:6" ht="21" x14ac:dyDescent="0.4">
      <c r="A1" s="17" t="s">
        <v>158</v>
      </c>
      <c r="B1" s="18"/>
      <c r="C1" s="18"/>
      <c r="D1" s="18"/>
      <c r="E1" s="18"/>
      <c r="F1" s="18"/>
    </row>
    <row r="3" spans="1:6" x14ac:dyDescent="0.4">
      <c r="A3" s="3" t="s">
        <v>43</v>
      </c>
      <c r="B3" s="3" t="s">
        <v>44</v>
      </c>
      <c r="C3" s="3" t="s">
        <v>45</v>
      </c>
      <c r="D3" s="3" t="s">
        <v>46</v>
      </c>
      <c r="E3" s="3" t="s">
        <v>47</v>
      </c>
      <c r="F3" s="3" t="s">
        <v>48</v>
      </c>
    </row>
    <row r="4" spans="1:6" x14ac:dyDescent="0.4">
      <c r="A4" s="3" t="s">
        <v>49</v>
      </c>
      <c r="B4" s="3" t="s">
        <v>50</v>
      </c>
      <c r="C4" s="3" t="s">
        <v>51</v>
      </c>
      <c r="D4" s="3" t="s">
        <v>221</v>
      </c>
      <c r="E4" s="3">
        <v>48</v>
      </c>
      <c r="F4" s="11">
        <v>12000000</v>
      </c>
    </row>
    <row r="5" spans="1:6" x14ac:dyDescent="0.4">
      <c r="A5" s="3" t="s">
        <v>52</v>
      </c>
      <c r="B5" s="3" t="s">
        <v>53</v>
      </c>
      <c r="C5" s="3" t="s">
        <v>54</v>
      </c>
      <c r="D5" s="3" t="s">
        <v>222</v>
      </c>
      <c r="E5" s="3">
        <v>60</v>
      </c>
      <c r="F5" s="11">
        <v>80000000</v>
      </c>
    </row>
    <row r="6" spans="1:6" x14ac:dyDescent="0.4">
      <c r="A6" s="3" t="s">
        <v>55</v>
      </c>
      <c r="B6" s="3" t="s">
        <v>56</v>
      </c>
      <c r="C6" s="3" t="s">
        <v>51</v>
      </c>
      <c r="D6" s="3" t="s">
        <v>222</v>
      </c>
      <c r="E6" s="3">
        <v>24</v>
      </c>
      <c r="F6" s="11">
        <v>50000000</v>
      </c>
    </row>
    <row r="7" spans="1:6" x14ac:dyDescent="0.4">
      <c r="A7" s="3" t="s">
        <v>57</v>
      </c>
      <c r="B7" s="3" t="s">
        <v>58</v>
      </c>
      <c r="C7" s="3" t="s">
        <v>59</v>
      </c>
      <c r="D7" s="3" t="s">
        <v>223</v>
      </c>
      <c r="E7" s="3">
        <v>24</v>
      </c>
      <c r="F7" s="11">
        <v>45000000</v>
      </c>
    </row>
    <row r="8" spans="1:6" x14ac:dyDescent="0.4">
      <c r="A8" s="3" t="s">
        <v>60</v>
      </c>
      <c r="B8" s="3" t="s">
        <v>50</v>
      </c>
      <c r="C8" s="3" t="s">
        <v>61</v>
      </c>
      <c r="D8" s="3" t="s">
        <v>223</v>
      </c>
      <c r="E8" s="3">
        <v>12</v>
      </c>
      <c r="F8" s="11">
        <v>60000000</v>
      </c>
    </row>
    <row r="9" spans="1:6" x14ac:dyDescent="0.4">
      <c r="A9" s="3" t="s">
        <v>62</v>
      </c>
      <c r="B9" s="3" t="s">
        <v>58</v>
      </c>
      <c r="C9" s="3" t="s">
        <v>59</v>
      </c>
      <c r="D9" s="3" t="s">
        <v>224</v>
      </c>
      <c r="E9" s="3">
        <v>36</v>
      </c>
      <c r="F9" s="11">
        <v>120000000</v>
      </c>
    </row>
    <row r="10" spans="1:6" x14ac:dyDescent="0.4">
      <c r="A10" s="3" t="s">
        <v>63</v>
      </c>
      <c r="B10" s="3" t="s">
        <v>53</v>
      </c>
      <c r="C10" s="3" t="s">
        <v>61</v>
      </c>
      <c r="D10" s="3" t="s">
        <v>224</v>
      </c>
      <c r="E10" s="3">
        <v>36</v>
      </c>
      <c r="F10" s="11">
        <v>35000000</v>
      </c>
    </row>
    <row r="11" spans="1:6" x14ac:dyDescent="0.4">
      <c r="A11" s="3" t="s">
        <v>64</v>
      </c>
      <c r="B11" s="3" t="s">
        <v>50</v>
      </c>
      <c r="C11" s="3" t="s">
        <v>51</v>
      </c>
      <c r="D11" s="3" t="s">
        <v>224</v>
      </c>
      <c r="E11" s="3">
        <v>24</v>
      </c>
      <c r="F11" s="11">
        <v>40000000</v>
      </c>
    </row>
    <row r="12" spans="1:6" x14ac:dyDescent="0.4">
      <c r="A12" s="3" t="s">
        <v>65</v>
      </c>
      <c r="B12" s="3" t="s">
        <v>56</v>
      </c>
      <c r="C12" s="3" t="s">
        <v>61</v>
      </c>
      <c r="D12" s="3" t="s">
        <v>224</v>
      </c>
      <c r="E12" s="3">
        <v>36</v>
      </c>
      <c r="F12" s="11">
        <v>30000000</v>
      </c>
    </row>
    <row r="13" spans="1:6" x14ac:dyDescent="0.4">
      <c r="A13" s="3" t="s">
        <v>66</v>
      </c>
      <c r="B13" s="3" t="s">
        <v>56</v>
      </c>
      <c r="C13" s="3" t="s">
        <v>67</v>
      </c>
      <c r="D13" s="3" t="s">
        <v>225</v>
      </c>
      <c r="E13" s="3">
        <v>60</v>
      </c>
      <c r="F13" s="11">
        <v>100000000</v>
      </c>
    </row>
    <row r="14" spans="1:6" x14ac:dyDescent="0.4">
      <c r="A14" s="3" t="s">
        <v>68</v>
      </c>
      <c r="B14" s="3" t="s">
        <v>50</v>
      </c>
      <c r="C14" s="3" t="s">
        <v>67</v>
      </c>
      <c r="D14" s="3" t="s">
        <v>225</v>
      </c>
      <c r="E14" s="3">
        <v>48</v>
      </c>
      <c r="F14" s="11">
        <v>120000000</v>
      </c>
    </row>
    <row r="15" spans="1:6" x14ac:dyDescent="0.4">
      <c r="A15" s="3" t="s">
        <v>69</v>
      </c>
      <c r="B15" s="3" t="s">
        <v>75</v>
      </c>
      <c r="C15" s="3" t="s">
        <v>78</v>
      </c>
      <c r="D15" s="3" t="s">
        <v>226</v>
      </c>
      <c r="E15" s="3">
        <v>36</v>
      </c>
      <c r="F15" s="11">
        <v>150000000</v>
      </c>
    </row>
    <row r="16" spans="1:6" x14ac:dyDescent="0.4">
      <c r="A16" s="3" t="s">
        <v>70</v>
      </c>
      <c r="B16" s="3" t="s">
        <v>76</v>
      </c>
      <c r="C16" s="3" t="s">
        <v>79</v>
      </c>
      <c r="D16" s="3" t="s">
        <v>226</v>
      </c>
      <c r="E16" s="3">
        <v>24</v>
      </c>
      <c r="F16" s="11">
        <v>80000000</v>
      </c>
    </row>
    <row r="17" spans="1:6" x14ac:dyDescent="0.4">
      <c r="A17" s="3" t="s">
        <v>71</v>
      </c>
      <c r="B17" s="3" t="s">
        <v>76</v>
      </c>
      <c r="C17" s="3" t="s">
        <v>51</v>
      </c>
      <c r="D17" s="3" t="s">
        <v>226</v>
      </c>
      <c r="E17" s="3">
        <v>60</v>
      </c>
      <c r="F17" s="11">
        <v>90000000</v>
      </c>
    </row>
    <row r="18" spans="1:6" x14ac:dyDescent="0.4">
      <c r="A18" s="3" t="s">
        <v>72</v>
      </c>
      <c r="B18" s="3" t="s">
        <v>50</v>
      </c>
      <c r="C18" s="3" t="s">
        <v>67</v>
      </c>
      <c r="D18" s="3" t="s">
        <v>227</v>
      </c>
      <c r="E18" s="3">
        <v>48</v>
      </c>
      <c r="F18" s="11">
        <v>130000000</v>
      </c>
    </row>
    <row r="19" spans="1:6" x14ac:dyDescent="0.4">
      <c r="A19" s="3" t="s">
        <v>73</v>
      </c>
      <c r="B19" s="3" t="s">
        <v>56</v>
      </c>
      <c r="C19" s="3" t="s">
        <v>80</v>
      </c>
      <c r="D19" s="3" t="s">
        <v>227</v>
      </c>
      <c r="E19" s="3">
        <v>12</v>
      </c>
      <c r="F19" s="11">
        <v>55000000</v>
      </c>
    </row>
    <row r="20" spans="1:6" x14ac:dyDescent="0.4">
      <c r="A20" s="3" t="s">
        <v>74</v>
      </c>
      <c r="B20" s="3" t="s">
        <v>77</v>
      </c>
      <c r="C20" s="3" t="s">
        <v>81</v>
      </c>
      <c r="D20" s="3" t="s">
        <v>227</v>
      </c>
      <c r="E20" s="3">
        <v>36</v>
      </c>
      <c r="F20" s="11">
        <v>45000000</v>
      </c>
    </row>
  </sheetData>
  <mergeCells count="1">
    <mergeCell ref="A1:F1"/>
  </mergeCells>
  <phoneticPr fontId="1" type="noConversion"/>
  <conditionalFormatting sqref="A4:F20">
    <cfRule type="expression" dxfId="9" priority="1">
      <formula>AND($C4="주택담보대출",$E4&gt;=24)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tabSelected="1" topLeftCell="A7" workbookViewId="0">
      <selection activeCell="C28" sqref="C28:D28"/>
    </sheetView>
  </sheetViews>
  <sheetFormatPr defaultRowHeight="17.399999999999999" x14ac:dyDescent="0.4"/>
  <cols>
    <col min="1" max="1" width="11.59765625" customWidth="1"/>
    <col min="2" max="2" width="14.59765625" customWidth="1"/>
    <col min="3" max="5" width="11.59765625" customWidth="1"/>
    <col min="6" max="6" width="2.59765625" customWidth="1"/>
    <col min="7" max="10" width="11.59765625" customWidth="1"/>
  </cols>
  <sheetData>
    <row r="1" spans="1:10" x14ac:dyDescent="0.4">
      <c r="A1" s="4" t="s">
        <v>160</v>
      </c>
      <c r="B1" s="5" t="s">
        <v>161</v>
      </c>
      <c r="G1" s="4" t="s">
        <v>162</v>
      </c>
      <c r="H1" s="5" t="s">
        <v>163</v>
      </c>
    </row>
    <row r="2" spans="1:10" x14ac:dyDescent="0.4">
      <c r="B2" s="16"/>
      <c r="C2" s="2">
        <v>45782</v>
      </c>
      <c r="G2" s="3" t="s">
        <v>164</v>
      </c>
      <c r="H2" s="3" t="s">
        <v>165</v>
      </c>
      <c r="I2" s="3" t="s">
        <v>166</v>
      </c>
      <c r="J2" s="15" t="s">
        <v>167</v>
      </c>
    </row>
    <row r="3" spans="1:10" x14ac:dyDescent="0.4">
      <c r="A3" s="3" t="s">
        <v>168</v>
      </c>
      <c r="B3" s="3" t="s">
        <v>169</v>
      </c>
      <c r="C3" s="3" t="s">
        <v>170</v>
      </c>
      <c r="D3" s="15" t="s">
        <v>171</v>
      </c>
      <c r="E3" s="15" t="s">
        <v>172</v>
      </c>
      <c r="G3" s="3" t="s">
        <v>90</v>
      </c>
      <c r="H3" s="3" t="s">
        <v>173</v>
      </c>
      <c r="I3" s="3" t="s">
        <v>174</v>
      </c>
      <c r="J3" s="3" t="str">
        <f>INDEX($I$16:$I$18,MATCH(MID(G3,3,2),$H$16:$H$18,0),1)</f>
        <v>정책과학</v>
      </c>
    </row>
    <row r="4" spans="1:10" x14ac:dyDescent="0.4">
      <c r="A4" s="3" t="s">
        <v>175</v>
      </c>
      <c r="B4" s="12">
        <v>43521</v>
      </c>
      <c r="C4" s="3">
        <v>78</v>
      </c>
      <c r="D4" s="3" t="str" cm="1">
        <f t="array" ref="D4">_xlfn.IFS(YEAR($C$2)-YEAR(B4)&gt;=10,"★",YEAR($C$2)-YEAR(B4)&gt;=5,"☆",TRUE,"")</f>
        <v>☆</v>
      </c>
      <c r="E4" s="3" t="str">
        <f>CHOOSE(_xlfn.RANK.EQ(C4,$C$4:$C$10),"합격","합격","","","","재수강","재수강")</f>
        <v/>
      </c>
      <c r="G4" s="3" t="s">
        <v>228</v>
      </c>
      <c r="H4" s="3" t="s">
        <v>83</v>
      </c>
      <c r="I4" s="3" t="s">
        <v>176</v>
      </c>
      <c r="J4" s="3" t="str">
        <f t="shared" ref="J4:J12" si="0">INDEX($I$16:$I$18,MATCH(MID(G4,3,2),$H$16:$H$18,0),1)</f>
        <v>사회과학</v>
      </c>
    </row>
    <row r="5" spans="1:10" x14ac:dyDescent="0.4">
      <c r="A5" s="3" t="s">
        <v>177</v>
      </c>
      <c r="B5" s="12">
        <v>41711</v>
      </c>
      <c r="C5" s="3">
        <v>89</v>
      </c>
      <c r="D5" s="3" t="str" cm="1">
        <f t="array" ref="D5">_xlfn.IFS(YEAR($C$2)-YEAR(B5)&gt;=10,"★",YEAR($C$2)-YEAR(B5)&gt;=5,"☆",TRUE,"")</f>
        <v>★</v>
      </c>
      <c r="E5" s="3" t="str">
        <f t="shared" ref="E5:E10" si="1">CHOOSE(_xlfn.RANK.EQ(C5,$C$4:$C$10),"합격","합격","","","","재수강","재수강")</f>
        <v>합격</v>
      </c>
      <c r="G5" s="3" t="s">
        <v>88</v>
      </c>
      <c r="H5" s="3" t="s">
        <v>178</v>
      </c>
      <c r="I5" s="3" t="s">
        <v>174</v>
      </c>
      <c r="J5" s="3" t="str">
        <f t="shared" si="0"/>
        <v>인문과학</v>
      </c>
    </row>
    <row r="6" spans="1:10" x14ac:dyDescent="0.4">
      <c r="A6" s="3" t="s">
        <v>179</v>
      </c>
      <c r="B6" s="12">
        <v>43158</v>
      </c>
      <c r="C6" s="3">
        <v>88</v>
      </c>
      <c r="D6" s="3" t="str" cm="1">
        <f t="array" ref="D6">_xlfn.IFS(YEAR($C$2)-YEAR(B6)&gt;=10,"★",YEAR($C$2)-YEAR(B6)&gt;=5,"☆",TRUE,"")</f>
        <v>☆</v>
      </c>
      <c r="E6" s="3" t="str">
        <f t="shared" si="1"/>
        <v/>
      </c>
      <c r="G6" s="3" t="s">
        <v>91</v>
      </c>
      <c r="H6" s="3" t="s">
        <v>84</v>
      </c>
      <c r="I6" s="3" t="s">
        <v>176</v>
      </c>
      <c r="J6" s="3" t="str">
        <f t="shared" si="0"/>
        <v>정책과학</v>
      </c>
    </row>
    <row r="7" spans="1:10" x14ac:dyDescent="0.4">
      <c r="A7" s="3" t="s">
        <v>180</v>
      </c>
      <c r="B7" s="12">
        <v>40273</v>
      </c>
      <c r="C7" s="3">
        <v>65</v>
      </c>
      <c r="D7" s="3" t="str" cm="1">
        <f t="array" ref="D7">_xlfn.IFS(YEAR($C$2)-YEAR(B7)&gt;=10,"★",YEAR($C$2)-YEAR(B7)&gt;=5,"☆",TRUE,"")</f>
        <v>★</v>
      </c>
      <c r="E7" s="3" t="str">
        <f t="shared" si="1"/>
        <v>재수강</v>
      </c>
      <c r="G7" s="3" t="s">
        <v>229</v>
      </c>
      <c r="H7" s="3" t="s">
        <v>181</v>
      </c>
      <c r="I7" s="3" t="s">
        <v>182</v>
      </c>
      <c r="J7" s="3" t="str">
        <f t="shared" si="0"/>
        <v>인문과학</v>
      </c>
    </row>
    <row r="8" spans="1:10" x14ac:dyDescent="0.4">
      <c r="A8" s="3" t="s">
        <v>183</v>
      </c>
      <c r="B8" s="12">
        <v>41278</v>
      </c>
      <c r="C8" s="3">
        <v>64</v>
      </c>
      <c r="D8" s="3" t="str" cm="1">
        <f t="array" ref="D8">_xlfn.IFS(YEAR($C$2)-YEAR(B8)&gt;=10,"★",YEAR($C$2)-YEAR(B8)&gt;=5,"☆",TRUE,"")</f>
        <v>★</v>
      </c>
      <c r="E8" s="3" t="str">
        <f t="shared" si="1"/>
        <v>재수강</v>
      </c>
      <c r="G8" s="3" t="s">
        <v>230</v>
      </c>
      <c r="H8" s="3" t="s">
        <v>184</v>
      </c>
      <c r="I8" s="3" t="s">
        <v>185</v>
      </c>
      <c r="J8" s="3" t="str">
        <f t="shared" si="0"/>
        <v>인문과학</v>
      </c>
    </row>
    <row r="9" spans="1:10" x14ac:dyDescent="0.4">
      <c r="A9" s="3" t="s">
        <v>186</v>
      </c>
      <c r="B9" s="12">
        <v>41837</v>
      </c>
      <c r="C9" s="3">
        <v>96</v>
      </c>
      <c r="D9" s="3" t="str" cm="1">
        <f t="array" ref="D9">_xlfn.IFS(YEAR($C$2)-YEAR(B9)&gt;=10,"★",YEAR($C$2)-YEAR(B9)&gt;=5,"☆",TRUE,"")</f>
        <v>★</v>
      </c>
      <c r="E9" s="3" t="str">
        <f t="shared" si="1"/>
        <v>합격</v>
      </c>
      <c r="G9" s="3" t="s">
        <v>85</v>
      </c>
      <c r="H9" s="3" t="s">
        <v>187</v>
      </c>
      <c r="I9" s="3" t="s">
        <v>182</v>
      </c>
      <c r="J9" s="3" t="str">
        <f t="shared" si="0"/>
        <v>사회과학</v>
      </c>
    </row>
    <row r="10" spans="1:10" x14ac:dyDescent="0.4">
      <c r="A10" s="3" t="s">
        <v>188</v>
      </c>
      <c r="B10" s="12">
        <v>41124</v>
      </c>
      <c r="C10" s="3">
        <v>79</v>
      </c>
      <c r="D10" s="3" t="str" cm="1">
        <f t="array" ref="D10">_xlfn.IFS(YEAR($C$2)-YEAR(B10)&gt;=10,"★",YEAR($C$2)-YEAR(B10)&gt;=5,"☆",TRUE,"")</f>
        <v>★</v>
      </c>
      <c r="E10" s="3" t="str">
        <f t="shared" si="1"/>
        <v/>
      </c>
      <c r="G10" s="3" t="s">
        <v>231</v>
      </c>
      <c r="H10" s="3" t="s">
        <v>189</v>
      </c>
      <c r="I10" s="3" t="s">
        <v>185</v>
      </c>
      <c r="J10" s="3" t="str">
        <f t="shared" si="0"/>
        <v>정책과학</v>
      </c>
    </row>
    <row r="11" spans="1:10" x14ac:dyDescent="0.4">
      <c r="G11" s="3" t="s">
        <v>86</v>
      </c>
      <c r="H11" s="3" t="s">
        <v>190</v>
      </c>
      <c r="I11" s="3" t="s">
        <v>191</v>
      </c>
      <c r="J11" s="3" t="str">
        <f t="shared" si="0"/>
        <v>사회과학</v>
      </c>
    </row>
    <row r="12" spans="1:10" x14ac:dyDescent="0.4">
      <c r="A12" s="4" t="s">
        <v>192</v>
      </c>
      <c r="B12" s="5" t="s">
        <v>232</v>
      </c>
      <c r="D12" s="16"/>
      <c r="G12" s="3" t="s">
        <v>193</v>
      </c>
      <c r="H12" s="3" t="s">
        <v>194</v>
      </c>
      <c r="I12" s="3" t="s">
        <v>195</v>
      </c>
      <c r="J12" s="3" t="str">
        <f t="shared" si="0"/>
        <v>정책과학</v>
      </c>
    </row>
    <row r="13" spans="1:10" x14ac:dyDescent="0.4">
      <c r="A13" s="3" t="s">
        <v>196</v>
      </c>
      <c r="B13" s="3" t="s">
        <v>197</v>
      </c>
      <c r="C13" s="3" t="s">
        <v>198</v>
      </c>
      <c r="D13" s="3" t="s">
        <v>199</v>
      </c>
    </row>
    <row r="14" spans="1:10" x14ac:dyDescent="0.4">
      <c r="A14" s="3" t="s">
        <v>200</v>
      </c>
      <c r="B14" s="3" t="s">
        <v>82</v>
      </c>
      <c r="C14" s="3">
        <v>48</v>
      </c>
      <c r="D14" s="7">
        <f>C14*IF(B14="건조기",1153500,IF(B14="세탁기",899200,1225000))</f>
        <v>55368000</v>
      </c>
      <c r="H14" s="19" t="s">
        <v>201</v>
      </c>
      <c r="I14" s="19"/>
    </row>
    <row r="15" spans="1:10" x14ac:dyDescent="0.4">
      <c r="A15" s="3" t="s">
        <v>200</v>
      </c>
      <c r="B15" s="3" t="s">
        <v>202</v>
      </c>
      <c r="C15" s="3">
        <v>75</v>
      </c>
      <c r="D15" s="7">
        <f t="shared" ref="D15:D22" si="2">C15*IF(B15="건조기",1153500,IF(B15="세탁기",899200,1225000))</f>
        <v>67440000</v>
      </c>
      <c r="H15" s="3" t="s">
        <v>203</v>
      </c>
      <c r="I15" s="3" t="s">
        <v>204</v>
      </c>
    </row>
    <row r="16" spans="1:10" x14ac:dyDescent="0.4">
      <c r="A16" s="3" t="s">
        <v>200</v>
      </c>
      <c r="B16" s="3" t="s">
        <v>205</v>
      </c>
      <c r="C16" s="3">
        <v>68</v>
      </c>
      <c r="D16" s="7">
        <f t="shared" si="2"/>
        <v>83300000</v>
      </c>
      <c r="H16" s="3" t="s">
        <v>89</v>
      </c>
      <c r="I16" s="3" t="s">
        <v>206</v>
      </c>
    </row>
    <row r="17" spans="1:9" x14ac:dyDescent="0.4">
      <c r="A17" s="3" t="s">
        <v>207</v>
      </c>
      <c r="B17" s="3" t="s">
        <v>82</v>
      </c>
      <c r="C17" s="3">
        <v>61</v>
      </c>
      <c r="D17" s="7">
        <f t="shared" si="2"/>
        <v>70363500</v>
      </c>
      <c r="H17" s="3" t="s">
        <v>92</v>
      </c>
      <c r="I17" s="3" t="s">
        <v>208</v>
      </c>
    </row>
    <row r="18" spans="1:9" x14ac:dyDescent="0.4">
      <c r="A18" s="3" t="s">
        <v>207</v>
      </c>
      <c r="B18" s="3" t="s">
        <v>209</v>
      </c>
      <c r="C18" s="3">
        <v>85</v>
      </c>
      <c r="D18" s="7">
        <f t="shared" si="2"/>
        <v>76432000</v>
      </c>
      <c r="H18" s="3" t="s">
        <v>87</v>
      </c>
      <c r="I18" s="3" t="s">
        <v>210</v>
      </c>
    </row>
    <row r="19" spans="1:9" x14ac:dyDescent="0.4">
      <c r="A19" s="3" t="s">
        <v>207</v>
      </c>
      <c r="B19" s="3" t="s">
        <v>211</v>
      </c>
      <c r="C19" s="3">
        <v>70</v>
      </c>
      <c r="D19" s="7">
        <f t="shared" si="2"/>
        <v>85750000</v>
      </c>
    </row>
    <row r="20" spans="1:9" x14ac:dyDescent="0.4">
      <c r="A20" s="3" t="s">
        <v>212</v>
      </c>
      <c r="B20" s="3" t="s">
        <v>82</v>
      </c>
      <c r="C20" s="3">
        <v>73</v>
      </c>
      <c r="D20" s="7">
        <f t="shared" si="2"/>
        <v>84205500</v>
      </c>
    </row>
    <row r="21" spans="1:9" x14ac:dyDescent="0.4">
      <c r="A21" s="3" t="s">
        <v>213</v>
      </c>
      <c r="B21" s="3" t="s">
        <v>214</v>
      </c>
      <c r="C21" s="3">
        <v>86</v>
      </c>
      <c r="D21" s="7">
        <f t="shared" si="2"/>
        <v>77331200</v>
      </c>
    </row>
    <row r="22" spans="1:9" x14ac:dyDescent="0.4">
      <c r="A22" s="3" t="s">
        <v>213</v>
      </c>
      <c r="B22" s="3" t="s">
        <v>211</v>
      </c>
      <c r="C22" s="3">
        <v>76</v>
      </c>
      <c r="D22" s="7">
        <f t="shared" si="2"/>
        <v>93100000</v>
      </c>
    </row>
    <row r="24" spans="1:9" x14ac:dyDescent="0.4">
      <c r="A24" s="3" t="s">
        <v>215</v>
      </c>
      <c r="B24" s="3" t="s">
        <v>216</v>
      </c>
    </row>
    <row r="25" spans="1:9" x14ac:dyDescent="0.4">
      <c r="A25" s="3" t="s">
        <v>217</v>
      </c>
      <c r="B25" s="3" t="s">
        <v>82</v>
      </c>
    </row>
    <row r="27" spans="1:9" x14ac:dyDescent="0.4">
      <c r="A27" s="15" t="s">
        <v>218</v>
      </c>
      <c r="B27" s="15" t="s">
        <v>233</v>
      </c>
      <c r="C27" s="20" t="s">
        <v>219</v>
      </c>
      <c r="D27" s="21"/>
    </row>
    <row r="28" spans="1:9" x14ac:dyDescent="0.4">
      <c r="A28" s="7">
        <f>SUMIFS(C14:C22,$A$14:$A$22,$A$25,$B$14:$B$22,$B$25)</f>
        <v>48</v>
      </c>
      <c r="B28" s="7">
        <f>SUMIFS(D14:D22,$A$14:$A$22,$A$25,$B$14:$B$22,$B$25)</f>
        <v>55368000</v>
      </c>
      <c r="C28" s="22">
        <f>SUMIF(B14:B22,"건조기",D14:D22)/COUNTIF(B14:B22,"건조기")</f>
        <v>69979000</v>
      </c>
      <c r="D28" s="22"/>
    </row>
  </sheetData>
  <mergeCells count="3">
    <mergeCell ref="H14:I14"/>
    <mergeCell ref="C27:D27"/>
    <mergeCell ref="C28:D28"/>
  </mergeCells>
  <phoneticPr fontId="1" type="noConversion"/>
  <dataValidations count="2">
    <dataValidation type="list" allowBlank="1" showInputMessage="1" showErrorMessage="1" sqref="A25" xr:uid="{00000000-0002-0000-0300-000000000000}">
      <formula1>"도곡,사당,성수"</formula1>
    </dataValidation>
    <dataValidation type="list" allowBlank="1" showInputMessage="1" showErrorMessage="1" sqref="B25" xr:uid="{00000000-0002-0000-0300-000001000000}">
      <formula1>"건조기,세탁기,TV"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1"/>
  <sheetViews>
    <sheetView topLeftCell="A14" workbookViewId="0">
      <selection activeCell="G30" sqref="G30"/>
    </sheetView>
  </sheetViews>
  <sheetFormatPr defaultRowHeight="17.399999999999999" x14ac:dyDescent="0.4"/>
  <cols>
    <col min="1" max="1" width="11.19921875" bestFit="1" customWidth="1"/>
    <col min="2" max="5" width="14.19921875" bestFit="1" customWidth="1"/>
    <col min="6" max="7" width="18.796875" bestFit="1" customWidth="1"/>
  </cols>
  <sheetData>
    <row r="1" spans="1:7" ht="21" x14ac:dyDescent="0.4">
      <c r="A1" s="23" t="s">
        <v>3</v>
      </c>
      <c r="B1" s="23"/>
      <c r="C1" s="23"/>
      <c r="D1" s="23"/>
      <c r="E1" s="23"/>
      <c r="F1" s="23"/>
      <c r="G1" s="23"/>
    </row>
    <row r="3" spans="1:7" x14ac:dyDescent="0.4">
      <c r="A3" s="3" t="s">
        <v>4</v>
      </c>
      <c r="B3" s="3" t="s">
        <v>5</v>
      </c>
      <c r="C3" s="3" t="s">
        <v>117</v>
      </c>
      <c r="D3" s="3" t="s">
        <v>6</v>
      </c>
      <c r="E3" s="3" t="s">
        <v>7</v>
      </c>
      <c r="F3" s="3" t="s">
        <v>8</v>
      </c>
      <c r="G3" s="3" t="s">
        <v>9</v>
      </c>
    </row>
    <row r="4" spans="1:7" x14ac:dyDescent="0.4">
      <c r="A4" s="6">
        <v>45719</v>
      </c>
      <c r="B4" s="3" t="s">
        <v>120</v>
      </c>
      <c r="C4" s="3" t="s">
        <v>118</v>
      </c>
      <c r="D4" s="3">
        <v>1705</v>
      </c>
      <c r="E4" s="3">
        <v>1977</v>
      </c>
      <c r="F4" s="3">
        <v>13</v>
      </c>
      <c r="G4" s="8">
        <f>F4/E4</f>
        <v>6.5756196256954984E-3</v>
      </c>
    </row>
    <row r="5" spans="1:7" x14ac:dyDescent="0.4">
      <c r="A5" s="6">
        <v>45726</v>
      </c>
      <c r="B5" s="3" t="s">
        <v>122</v>
      </c>
      <c r="C5" s="3" t="s">
        <v>119</v>
      </c>
      <c r="D5" s="3">
        <v>2005</v>
      </c>
      <c r="E5" s="3">
        <v>1947</v>
      </c>
      <c r="F5" s="3">
        <v>30</v>
      </c>
      <c r="G5" s="8">
        <f t="shared" ref="G5:G18" si="0">F5/E5</f>
        <v>1.5408320493066256E-2</v>
      </c>
    </row>
    <row r="6" spans="1:7" x14ac:dyDescent="0.4">
      <c r="A6" s="6">
        <v>45733</v>
      </c>
      <c r="B6" s="3" t="s">
        <v>123</v>
      </c>
      <c r="C6" s="3" t="s">
        <v>119</v>
      </c>
      <c r="D6" s="3">
        <v>1705</v>
      </c>
      <c r="E6" s="3">
        <v>1777</v>
      </c>
      <c r="F6" s="3">
        <v>22</v>
      </c>
      <c r="G6" s="8">
        <f t="shared" si="0"/>
        <v>1.2380416432189083E-2</v>
      </c>
    </row>
    <row r="7" spans="1:7" x14ac:dyDescent="0.4">
      <c r="A7" s="6">
        <v>45740</v>
      </c>
      <c r="B7" s="3" t="s">
        <v>121</v>
      </c>
      <c r="C7" s="3" t="s">
        <v>118</v>
      </c>
      <c r="D7" s="3">
        <v>1505</v>
      </c>
      <c r="E7" s="3">
        <v>1620</v>
      </c>
      <c r="F7" s="3">
        <v>17</v>
      </c>
      <c r="G7" s="8">
        <f t="shared" si="0"/>
        <v>1.0493827160493827E-2</v>
      </c>
    </row>
    <row r="8" spans="1:7" x14ac:dyDescent="0.4">
      <c r="A8" s="6">
        <v>45747</v>
      </c>
      <c r="B8" s="3" t="s">
        <v>120</v>
      </c>
      <c r="C8" s="3" t="s">
        <v>118</v>
      </c>
      <c r="D8" s="3">
        <v>2005</v>
      </c>
      <c r="E8" s="3">
        <v>2175</v>
      </c>
      <c r="F8" s="3">
        <v>6</v>
      </c>
      <c r="G8" s="8">
        <f t="shared" si="0"/>
        <v>2.7586206896551722E-3</v>
      </c>
    </row>
    <row r="9" spans="1:7" x14ac:dyDescent="0.4">
      <c r="A9" s="6">
        <v>45749</v>
      </c>
      <c r="B9" s="3" t="s">
        <v>123</v>
      </c>
      <c r="C9" s="3" t="s">
        <v>119</v>
      </c>
      <c r="D9" s="3">
        <v>2005</v>
      </c>
      <c r="E9" s="3">
        <v>1926</v>
      </c>
      <c r="F9" s="3">
        <v>9</v>
      </c>
      <c r="G9" s="8">
        <f t="shared" si="0"/>
        <v>4.6728971962616819E-3</v>
      </c>
    </row>
    <row r="10" spans="1:7" x14ac:dyDescent="0.4">
      <c r="A10" s="6">
        <v>45756</v>
      </c>
      <c r="B10" s="3" t="s">
        <v>122</v>
      </c>
      <c r="C10" s="3" t="s">
        <v>119</v>
      </c>
      <c r="D10" s="3">
        <v>2005</v>
      </c>
      <c r="E10" s="3">
        <v>2194</v>
      </c>
      <c r="F10" s="3">
        <v>23</v>
      </c>
      <c r="G10" s="8">
        <f t="shared" si="0"/>
        <v>1.0483135824977211E-2</v>
      </c>
    </row>
    <row r="11" spans="1:7" x14ac:dyDescent="0.4">
      <c r="A11" s="6">
        <v>45763</v>
      </c>
      <c r="B11" s="3" t="s">
        <v>123</v>
      </c>
      <c r="C11" s="3" t="s">
        <v>119</v>
      </c>
      <c r="D11" s="3">
        <v>2005</v>
      </c>
      <c r="E11" s="3">
        <v>1720</v>
      </c>
      <c r="F11" s="3">
        <v>29</v>
      </c>
      <c r="G11" s="8">
        <f t="shared" si="0"/>
        <v>1.6860465116279071E-2</v>
      </c>
    </row>
    <row r="12" spans="1:7" x14ac:dyDescent="0.4">
      <c r="A12" s="6">
        <v>45770</v>
      </c>
      <c r="B12" s="3" t="s">
        <v>120</v>
      </c>
      <c r="C12" s="3" t="s">
        <v>118</v>
      </c>
      <c r="D12" s="3">
        <v>2205</v>
      </c>
      <c r="E12" s="3">
        <v>2041</v>
      </c>
      <c r="F12" s="3">
        <v>15</v>
      </c>
      <c r="G12" s="8">
        <f t="shared" si="0"/>
        <v>7.3493385595296426E-3</v>
      </c>
    </row>
    <row r="13" spans="1:7" x14ac:dyDescent="0.4">
      <c r="A13" s="6">
        <v>45777</v>
      </c>
      <c r="B13" s="3" t="s">
        <v>123</v>
      </c>
      <c r="C13" s="3" t="s">
        <v>119</v>
      </c>
      <c r="D13" s="3">
        <v>1905</v>
      </c>
      <c r="E13" s="3">
        <v>1726</v>
      </c>
      <c r="F13" s="3">
        <v>7</v>
      </c>
      <c r="G13" s="8">
        <f t="shared" si="0"/>
        <v>4.0556199304750866E-3</v>
      </c>
    </row>
    <row r="14" spans="1:7" x14ac:dyDescent="0.4">
      <c r="A14" s="6">
        <v>45781</v>
      </c>
      <c r="B14" s="3" t="s">
        <v>121</v>
      </c>
      <c r="C14" s="3" t="s">
        <v>118</v>
      </c>
      <c r="D14" s="3">
        <v>1705</v>
      </c>
      <c r="E14" s="3">
        <v>1755</v>
      </c>
      <c r="F14" s="3">
        <v>15</v>
      </c>
      <c r="G14" s="8">
        <f t="shared" si="0"/>
        <v>8.5470085470085479E-3</v>
      </c>
    </row>
    <row r="15" spans="1:7" x14ac:dyDescent="0.4">
      <c r="A15" s="6">
        <v>45788</v>
      </c>
      <c r="B15" s="3" t="s">
        <v>122</v>
      </c>
      <c r="C15" s="3" t="s">
        <v>119</v>
      </c>
      <c r="D15" s="3">
        <v>2205</v>
      </c>
      <c r="E15" s="3">
        <v>2077</v>
      </c>
      <c r="F15" s="3">
        <v>20</v>
      </c>
      <c r="G15" s="8">
        <f t="shared" si="0"/>
        <v>9.6292729898892638E-3</v>
      </c>
    </row>
    <row r="16" spans="1:7" x14ac:dyDescent="0.4">
      <c r="A16" s="6">
        <v>45792</v>
      </c>
      <c r="B16" s="3" t="s">
        <v>120</v>
      </c>
      <c r="C16" s="3" t="s">
        <v>118</v>
      </c>
      <c r="D16" s="3">
        <v>2005</v>
      </c>
      <c r="E16" s="3">
        <v>2062</v>
      </c>
      <c r="F16" s="3">
        <v>12</v>
      </c>
      <c r="G16" s="8">
        <f t="shared" si="0"/>
        <v>5.8195926285160042E-3</v>
      </c>
    </row>
    <row r="17" spans="1:7" x14ac:dyDescent="0.4">
      <c r="A17" s="6">
        <v>45798</v>
      </c>
      <c r="B17" s="3" t="s">
        <v>122</v>
      </c>
      <c r="C17" s="3" t="s">
        <v>119</v>
      </c>
      <c r="D17" s="3">
        <v>2005</v>
      </c>
      <c r="E17" s="3">
        <v>2114</v>
      </c>
      <c r="F17" s="3">
        <v>7</v>
      </c>
      <c r="G17" s="8">
        <f t="shared" si="0"/>
        <v>3.3112582781456954E-3</v>
      </c>
    </row>
    <row r="18" spans="1:7" x14ac:dyDescent="0.4">
      <c r="A18" s="6">
        <v>45805</v>
      </c>
      <c r="B18" s="3" t="s">
        <v>121</v>
      </c>
      <c r="C18" s="3" t="s">
        <v>118</v>
      </c>
      <c r="D18" s="3">
        <v>1705</v>
      </c>
      <c r="E18" s="3">
        <v>1757</v>
      </c>
      <c r="F18" s="3">
        <v>8</v>
      </c>
      <c r="G18" s="8">
        <f t="shared" si="0"/>
        <v>4.5532157085941948E-3</v>
      </c>
    </row>
    <row r="19" spans="1:7" x14ac:dyDescent="0.4">
      <c r="A19" s="13">
        <v>45807</v>
      </c>
      <c r="B19" s="3" t="s">
        <v>124</v>
      </c>
      <c r="C19" s="3" t="s">
        <v>118</v>
      </c>
      <c r="D19" s="3">
        <v>1500</v>
      </c>
      <c r="E19" s="3">
        <v>1350</v>
      </c>
      <c r="F19" s="3">
        <v>15</v>
      </c>
      <c r="G19" s="8">
        <f t="shared" ref="G19" si="1">F19/E19</f>
        <v>1.1111111111111112E-2</v>
      </c>
    </row>
    <row r="23" spans="1:7" x14ac:dyDescent="0.4">
      <c r="A23" s="36" t="s">
        <v>234</v>
      </c>
      <c r="B23" t="s">
        <v>235</v>
      </c>
    </row>
    <row r="25" spans="1:7" x14ac:dyDescent="0.4">
      <c r="B25" s="36" t="s">
        <v>241</v>
      </c>
    </row>
    <row r="26" spans="1:7" x14ac:dyDescent="0.4">
      <c r="B26" t="s">
        <v>118</v>
      </c>
      <c r="D26" t="s">
        <v>119</v>
      </c>
    </row>
    <row r="27" spans="1:7" x14ac:dyDescent="0.4">
      <c r="A27" s="36" t="s">
        <v>236</v>
      </c>
      <c r="B27" t="s">
        <v>242</v>
      </c>
      <c r="C27" t="s">
        <v>243</v>
      </c>
      <c r="D27" t="s">
        <v>242</v>
      </c>
      <c r="E27" t="s">
        <v>243</v>
      </c>
    </row>
    <row r="28" spans="1:7" x14ac:dyDescent="0.4">
      <c r="A28" s="37" t="s">
        <v>238</v>
      </c>
      <c r="B28" s="38">
        <v>5772</v>
      </c>
      <c r="C28" s="38">
        <v>12</v>
      </c>
      <c r="D28" s="38">
        <v>3724</v>
      </c>
      <c r="E28" s="38">
        <v>26</v>
      </c>
    </row>
    <row r="29" spans="1:7" x14ac:dyDescent="0.4">
      <c r="A29" s="37" t="s">
        <v>239</v>
      </c>
      <c r="B29" s="38">
        <v>2041</v>
      </c>
      <c r="C29" s="38">
        <v>15</v>
      </c>
      <c r="D29" s="38">
        <v>7566</v>
      </c>
      <c r="E29" s="38">
        <v>17</v>
      </c>
    </row>
    <row r="30" spans="1:7" x14ac:dyDescent="0.4">
      <c r="A30" s="37" t="s">
        <v>240</v>
      </c>
      <c r="B30" s="38">
        <v>6924</v>
      </c>
      <c r="C30" s="38">
        <v>12.5</v>
      </c>
      <c r="D30" s="38">
        <v>4191</v>
      </c>
      <c r="E30" s="38">
        <v>13.5</v>
      </c>
    </row>
    <row r="31" spans="1:7" x14ac:dyDescent="0.4">
      <c r="A31" s="37" t="s">
        <v>237</v>
      </c>
      <c r="B31" s="38">
        <v>14737</v>
      </c>
      <c r="C31" s="38">
        <v>12.625</v>
      </c>
      <c r="D31" s="38">
        <v>15481</v>
      </c>
      <c r="E31" s="38">
        <v>18.375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5"/>
  <sheetViews>
    <sheetView topLeftCell="A5" workbookViewId="0">
      <selection activeCell="K15" sqref="K15"/>
    </sheetView>
  </sheetViews>
  <sheetFormatPr defaultRowHeight="17.399999999999999" outlineLevelRow="3" x14ac:dyDescent="0.4"/>
  <cols>
    <col min="1" max="1" width="9.796875" customWidth="1"/>
    <col min="3" max="4" width="13.3984375" customWidth="1"/>
    <col min="5" max="5" width="11.19921875" customWidth="1"/>
  </cols>
  <sheetData>
    <row r="1" spans="1:5" ht="21" x14ac:dyDescent="0.4">
      <c r="A1" s="23" t="s">
        <v>93</v>
      </c>
      <c r="B1" s="23"/>
      <c r="C1" s="23"/>
      <c r="D1" s="23"/>
      <c r="E1" s="23"/>
    </row>
    <row r="3" spans="1:5" x14ac:dyDescent="0.4">
      <c r="A3" s="42" t="s">
        <v>94</v>
      </c>
      <c r="B3" s="42" t="s">
        <v>95</v>
      </c>
      <c r="C3" s="42" t="s">
        <v>96</v>
      </c>
      <c r="D3" s="42" t="s">
        <v>97</v>
      </c>
      <c r="E3" s="42" t="s">
        <v>98</v>
      </c>
    </row>
    <row r="4" spans="1:5" outlineLevel="3" x14ac:dyDescent="0.4">
      <c r="A4" s="3" t="s">
        <v>102</v>
      </c>
      <c r="B4" s="3" t="s">
        <v>116</v>
      </c>
      <c r="C4" s="3">
        <v>12</v>
      </c>
      <c r="D4" s="3">
        <v>15</v>
      </c>
      <c r="E4" s="3">
        <v>27</v>
      </c>
    </row>
    <row r="5" spans="1:5" outlineLevel="3" x14ac:dyDescent="0.4">
      <c r="A5" s="3" t="s">
        <v>103</v>
      </c>
      <c r="B5" s="3" t="s">
        <v>116</v>
      </c>
      <c r="C5" s="3">
        <v>11</v>
      </c>
      <c r="D5" s="3">
        <v>14</v>
      </c>
      <c r="E5" s="3">
        <v>25</v>
      </c>
    </row>
    <row r="6" spans="1:5" outlineLevel="3" x14ac:dyDescent="0.4">
      <c r="A6" s="3" t="s">
        <v>104</v>
      </c>
      <c r="B6" s="3" t="s">
        <v>116</v>
      </c>
      <c r="C6" s="3">
        <v>4</v>
      </c>
      <c r="D6" s="3">
        <v>5</v>
      </c>
      <c r="E6" s="3">
        <v>9</v>
      </c>
    </row>
    <row r="7" spans="1:5" outlineLevel="3" x14ac:dyDescent="0.4">
      <c r="A7" s="3" t="s">
        <v>107</v>
      </c>
      <c r="B7" s="3" t="s">
        <v>116</v>
      </c>
      <c r="C7" s="3">
        <v>5</v>
      </c>
      <c r="D7" s="3">
        <v>4</v>
      </c>
      <c r="E7" s="3">
        <v>9</v>
      </c>
    </row>
    <row r="8" spans="1:5" outlineLevel="3" x14ac:dyDescent="0.4">
      <c r="A8" s="3" t="s">
        <v>110</v>
      </c>
      <c r="B8" s="3" t="s">
        <v>116</v>
      </c>
      <c r="C8" s="3">
        <v>7</v>
      </c>
      <c r="D8" s="3">
        <v>9</v>
      </c>
      <c r="E8" s="3">
        <v>16</v>
      </c>
    </row>
    <row r="9" spans="1:5" outlineLevel="2" x14ac:dyDescent="0.4">
      <c r="A9" s="3"/>
      <c r="B9" s="39" t="s">
        <v>248</v>
      </c>
      <c r="C9" s="3">
        <f>SUBTOTAL(1,C4:C8)</f>
        <v>7.8</v>
      </c>
      <c r="D9" s="3">
        <f>SUBTOTAL(1,D4:D8)</f>
        <v>9.4</v>
      </c>
      <c r="E9" s="3"/>
    </row>
    <row r="10" spans="1:5" outlineLevel="1" x14ac:dyDescent="0.4">
      <c r="A10" s="3"/>
      <c r="B10" s="39" t="s">
        <v>244</v>
      </c>
      <c r="C10" s="3"/>
      <c r="D10" s="3"/>
      <c r="E10" s="3">
        <f>SUBTOTAL(4,E4:E8)</f>
        <v>27</v>
      </c>
    </row>
    <row r="11" spans="1:5" outlineLevel="3" x14ac:dyDescent="0.4">
      <c r="A11" s="3" t="s">
        <v>100</v>
      </c>
      <c r="B11" s="3" t="s">
        <v>115</v>
      </c>
      <c r="C11" s="3">
        <v>8</v>
      </c>
      <c r="D11" s="3">
        <v>8</v>
      </c>
      <c r="E11" s="3">
        <v>16</v>
      </c>
    </row>
    <row r="12" spans="1:5" outlineLevel="3" x14ac:dyDescent="0.4">
      <c r="A12" s="3" t="s">
        <v>106</v>
      </c>
      <c r="B12" s="3" t="s">
        <v>115</v>
      </c>
      <c r="C12" s="3">
        <v>9</v>
      </c>
      <c r="D12" s="3">
        <v>8</v>
      </c>
      <c r="E12" s="3">
        <v>17</v>
      </c>
    </row>
    <row r="13" spans="1:5" outlineLevel="3" x14ac:dyDescent="0.4">
      <c r="A13" s="3" t="s">
        <v>109</v>
      </c>
      <c r="B13" s="3" t="s">
        <v>115</v>
      </c>
      <c r="C13" s="3">
        <v>6</v>
      </c>
      <c r="D13" s="3">
        <v>6</v>
      </c>
      <c r="E13" s="3">
        <v>12</v>
      </c>
    </row>
    <row r="14" spans="1:5" outlineLevel="3" x14ac:dyDescent="0.4">
      <c r="A14" s="3" t="s">
        <v>113</v>
      </c>
      <c r="B14" s="3" t="s">
        <v>115</v>
      </c>
      <c r="C14" s="3">
        <v>5</v>
      </c>
      <c r="D14" s="3">
        <v>9</v>
      </c>
      <c r="E14" s="3">
        <v>14</v>
      </c>
    </row>
    <row r="15" spans="1:5" outlineLevel="2" x14ac:dyDescent="0.4">
      <c r="A15" s="3"/>
      <c r="B15" s="39" t="s">
        <v>249</v>
      </c>
      <c r="C15" s="3">
        <f>SUBTOTAL(1,C11:C14)</f>
        <v>7</v>
      </c>
      <c r="D15" s="3">
        <f>SUBTOTAL(1,D11:D14)</f>
        <v>7.75</v>
      </c>
      <c r="E15" s="3"/>
    </row>
    <row r="16" spans="1:5" outlineLevel="1" x14ac:dyDescent="0.4">
      <c r="A16" s="3"/>
      <c r="B16" s="39" t="s">
        <v>245</v>
      </c>
      <c r="C16" s="3"/>
      <c r="D16" s="3"/>
      <c r="E16" s="3">
        <f>SUBTOTAL(4,E11:E14)</f>
        <v>17</v>
      </c>
    </row>
    <row r="17" spans="1:5" outlineLevel="3" x14ac:dyDescent="0.4">
      <c r="A17" s="3" t="s">
        <v>101</v>
      </c>
      <c r="B17" s="3" t="s">
        <v>99</v>
      </c>
      <c r="C17" s="3">
        <v>9</v>
      </c>
      <c r="D17" s="3">
        <v>9</v>
      </c>
      <c r="E17" s="3">
        <v>18</v>
      </c>
    </row>
    <row r="18" spans="1:5" outlineLevel="3" x14ac:dyDescent="0.4">
      <c r="A18" s="3" t="s">
        <v>105</v>
      </c>
      <c r="B18" s="3" t="s">
        <v>99</v>
      </c>
      <c r="C18" s="3">
        <v>8</v>
      </c>
      <c r="D18" s="3">
        <v>9</v>
      </c>
      <c r="E18" s="3">
        <v>17</v>
      </c>
    </row>
    <row r="19" spans="1:5" outlineLevel="3" x14ac:dyDescent="0.4">
      <c r="A19" s="3" t="s">
        <v>108</v>
      </c>
      <c r="B19" s="3" t="s">
        <v>114</v>
      </c>
      <c r="C19" s="3">
        <v>11</v>
      </c>
      <c r="D19" s="3">
        <v>10</v>
      </c>
      <c r="E19" s="3">
        <v>21</v>
      </c>
    </row>
    <row r="20" spans="1:5" outlineLevel="3" x14ac:dyDescent="0.4">
      <c r="A20" s="3" t="s">
        <v>111</v>
      </c>
      <c r="B20" s="3" t="s">
        <v>99</v>
      </c>
      <c r="C20" s="3">
        <v>11</v>
      </c>
      <c r="D20" s="3">
        <v>10</v>
      </c>
      <c r="E20" s="3">
        <v>21</v>
      </c>
    </row>
    <row r="21" spans="1:5" outlineLevel="3" x14ac:dyDescent="0.4">
      <c r="A21" s="3" t="s">
        <v>112</v>
      </c>
      <c r="B21" s="3" t="s">
        <v>99</v>
      </c>
      <c r="C21" s="3">
        <v>6</v>
      </c>
      <c r="D21" s="3">
        <v>7</v>
      </c>
      <c r="E21" s="3">
        <v>13</v>
      </c>
    </row>
    <row r="22" spans="1:5" outlineLevel="2" x14ac:dyDescent="0.4">
      <c r="A22" s="40"/>
      <c r="B22" s="41" t="s">
        <v>250</v>
      </c>
      <c r="C22" s="40">
        <f>SUBTOTAL(1,C17:C21)</f>
        <v>9</v>
      </c>
      <c r="D22" s="40">
        <f>SUBTOTAL(1,D17:D21)</f>
        <v>9</v>
      </c>
      <c r="E22" s="40"/>
    </row>
    <row r="23" spans="1:5" outlineLevel="1" x14ac:dyDescent="0.4">
      <c r="A23" s="40"/>
      <c r="B23" s="41" t="s">
        <v>246</v>
      </c>
      <c r="C23" s="40"/>
      <c r="D23" s="40"/>
      <c r="E23" s="40">
        <f>SUBTOTAL(4,E17:E21)</f>
        <v>21</v>
      </c>
    </row>
    <row r="24" spans="1:5" x14ac:dyDescent="0.4">
      <c r="A24" s="40"/>
      <c r="B24" s="41" t="s">
        <v>251</v>
      </c>
      <c r="C24" s="40">
        <f>SUBTOTAL(1,C4:C21)</f>
        <v>8</v>
      </c>
      <c r="D24" s="40">
        <f>SUBTOTAL(1,D4:D21)</f>
        <v>8.7857142857142865</v>
      </c>
      <c r="E24" s="40"/>
    </row>
    <row r="25" spans="1:5" x14ac:dyDescent="0.4">
      <c r="A25" s="40"/>
      <c r="B25" s="41" t="s">
        <v>247</v>
      </c>
      <c r="C25" s="40"/>
      <c r="D25" s="40"/>
      <c r="E25" s="40">
        <f>SUBTOTAL(4,E4:E21)</f>
        <v>27</v>
      </c>
    </row>
  </sheetData>
  <sortState xmlns:xlrd2="http://schemas.microsoft.com/office/spreadsheetml/2017/richdata2" ref="A4:E21">
    <sortCondition ref="B4:B21"/>
  </sortState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3"/>
  <sheetViews>
    <sheetView workbookViewId="0">
      <selection activeCell="J17" sqref="J17"/>
    </sheetView>
  </sheetViews>
  <sheetFormatPr defaultRowHeight="17.399999999999999" x14ac:dyDescent="0.4"/>
  <cols>
    <col min="3" max="3" width="16.8984375" customWidth="1"/>
  </cols>
  <sheetData>
    <row r="1" spans="1:6" ht="21" x14ac:dyDescent="0.4">
      <c r="A1" s="23" t="s">
        <v>142</v>
      </c>
      <c r="B1" s="23"/>
      <c r="C1" s="23"/>
      <c r="D1" s="23"/>
      <c r="E1" s="23"/>
      <c r="F1" s="23"/>
    </row>
    <row r="3" spans="1:6" x14ac:dyDescent="0.4">
      <c r="A3" s="3" t="s">
        <v>143</v>
      </c>
      <c r="B3" s="3" t="s">
        <v>144</v>
      </c>
      <c r="C3" s="3" t="s">
        <v>220</v>
      </c>
      <c r="D3" s="3" t="s">
        <v>145</v>
      </c>
      <c r="E3" s="3" t="s">
        <v>146</v>
      </c>
      <c r="F3" s="3" t="s">
        <v>147</v>
      </c>
    </row>
    <row r="4" spans="1:6" x14ac:dyDescent="0.4">
      <c r="A4" s="3">
        <v>1</v>
      </c>
      <c r="B4" s="3" t="s">
        <v>148</v>
      </c>
      <c r="C4" s="6">
        <v>34243</v>
      </c>
      <c r="D4" s="14">
        <v>13700</v>
      </c>
      <c r="E4" s="14">
        <v>20000</v>
      </c>
      <c r="F4" s="14">
        <f>D4+E4</f>
        <v>33700</v>
      </c>
    </row>
    <row r="5" spans="1:6" x14ac:dyDescent="0.4">
      <c r="A5" s="3">
        <v>2</v>
      </c>
      <c r="B5" s="3" t="s">
        <v>149</v>
      </c>
      <c r="C5" s="6">
        <v>36651</v>
      </c>
      <c r="D5" s="14">
        <v>8900</v>
      </c>
      <c r="E5" s="14">
        <v>18300</v>
      </c>
      <c r="F5" s="14">
        <f t="shared" ref="F5:F13" si="0">D5+E5</f>
        <v>27200</v>
      </c>
    </row>
    <row r="6" spans="1:6" x14ac:dyDescent="0.4">
      <c r="A6" s="3">
        <v>3</v>
      </c>
      <c r="B6" s="3" t="s">
        <v>150</v>
      </c>
      <c r="C6" s="6">
        <v>36473</v>
      </c>
      <c r="D6" s="14">
        <v>11200</v>
      </c>
      <c r="E6" s="14">
        <v>28400</v>
      </c>
      <c r="F6" s="14">
        <f t="shared" si="0"/>
        <v>39600</v>
      </c>
    </row>
    <row r="7" spans="1:6" x14ac:dyDescent="0.4">
      <c r="A7" s="3">
        <v>4</v>
      </c>
      <c r="B7" s="3" t="s">
        <v>151</v>
      </c>
      <c r="C7" s="6">
        <v>37048</v>
      </c>
      <c r="D7" s="14">
        <v>10500</v>
      </c>
      <c r="E7" s="14">
        <v>16400</v>
      </c>
      <c r="F7" s="14">
        <f t="shared" si="0"/>
        <v>26900</v>
      </c>
    </row>
    <row r="8" spans="1:6" x14ac:dyDescent="0.4">
      <c r="A8" s="3">
        <v>5</v>
      </c>
      <c r="B8" s="3" t="s">
        <v>152</v>
      </c>
      <c r="C8" s="6">
        <v>34926</v>
      </c>
      <c r="D8" s="14">
        <v>12100</v>
      </c>
      <c r="E8" s="14">
        <v>21800</v>
      </c>
      <c r="F8" s="14">
        <f t="shared" si="0"/>
        <v>33900</v>
      </c>
    </row>
    <row r="9" spans="1:6" x14ac:dyDescent="0.4">
      <c r="A9" s="3">
        <v>6</v>
      </c>
      <c r="B9" s="3" t="s">
        <v>153</v>
      </c>
      <c r="C9" s="6">
        <v>33232</v>
      </c>
      <c r="D9" s="14">
        <v>10700</v>
      </c>
      <c r="E9" s="14">
        <v>19800</v>
      </c>
      <c r="F9" s="14">
        <f t="shared" si="0"/>
        <v>30500</v>
      </c>
    </row>
    <row r="10" spans="1:6" x14ac:dyDescent="0.4">
      <c r="A10" s="3">
        <v>7</v>
      </c>
      <c r="B10" s="3" t="s">
        <v>154</v>
      </c>
      <c r="C10" s="6">
        <v>37444</v>
      </c>
      <c r="D10" s="14">
        <v>14300</v>
      </c>
      <c r="E10" s="14">
        <v>16700</v>
      </c>
      <c r="F10" s="14">
        <f t="shared" si="0"/>
        <v>31000</v>
      </c>
    </row>
    <row r="11" spans="1:6" x14ac:dyDescent="0.4">
      <c r="A11" s="3">
        <v>8</v>
      </c>
      <c r="B11" s="3" t="s">
        <v>155</v>
      </c>
      <c r="C11" s="6">
        <v>37884</v>
      </c>
      <c r="D11" s="14">
        <v>7900</v>
      </c>
      <c r="E11" s="14">
        <v>24000</v>
      </c>
      <c r="F11" s="14">
        <f t="shared" si="0"/>
        <v>31900</v>
      </c>
    </row>
    <row r="12" spans="1:6" x14ac:dyDescent="0.4">
      <c r="A12" s="3">
        <v>9</v>
      </c>
      <c r="B12" s="3" t="s">
        <v>156</v>
      </c>
      <c r="C12" s="6">
        <v>29604</v>
      </c>
      <c r="D12" s="14">
        <v>10000</v>
      </c>
      <c r="E12" s="14">
        <v>15700</v>
      </c>
      <c r="F12" s="14">
        <f t="shared" si="0"/>
        <v>25700</v>
      </c>
    </row>
    <row r="13" spans="1:6" x14ac:dyDescent="0.4">
      <c r="A13" s="3">
        <v>10</v>
      </c>
      <c r="B13" s="3" t="s">
        <v>157</v>
      </c>
      <c r="C13" s="6">
        <v>26355</v>
      </c>
      <c r="D13" s="14">
        <v>11400</v>
      </c>
      <c r="E13" s="14">
        <v>15000</v>
      </c>
      <c r="F13" s="14">
        <f t="shared" si="0"/>
        <v>26400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액">
                <anchor moveWithCells="1" sizeWithCells="1">
                  <from>
                    <xdr:col>1</xdr:col>
                    <xdr:colOff>647700</xdr:colOff>
                    <xdr:row>14</xdr:row>
                    <xdr:rowOff>15240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3"/>
  <sheetViews>
    <sheetView topLeftCell="A11" workbookViewId="0">
      <selection activeCell="L29" sqref="L29"/>
    </sheetView>
  </sheetViews>
  <sheetFormatPr defaultRowHeight="17.399999999999999" x14ac:dyDescent="0.4"/>
  <cols>
    <col min="1" max="1" width="14.3984375" bestFit="1" customWidth="1"/>
    <col min="2" max="2" width="12.69921875" customWidth="1"/>
    <col min="3" max="3" width="11.5" customWidth="1"/>
  </cols>
  <sheetData>
    <row r="1" spans="1:5" ht="21" x14ac:dyDescent="0.4">
      <c r="A1" s="23" t="s">
        <v>134</v>
      </c>
      <c r="B1" s="23"/>
      <c r="C1" s="23"/>
      <c r="D1" s="23"/>
      <c r="E1" s="23"/>
    </row>
    <row r="3" spans="1:5" x14ac:dyDescent="0.4">
      <c r="A3" s="3" t="s">
        <v>133</v>
      </c>
      <c r="B3" s="3" t="s">
        <v>135</v>
      </c>
      <c r="C3" s="3" t="s">
        <v>140</v>
      </c>
      <c r="D3" s="3" t="s">
        <v>141</v>
      </c>
      <c r="E3" s="3" t="s">
        <v>10</v>
      </c>
    </row>
    <row r="4" spans="1:5" x14ac:dyDescent="0.4">
      <c r="A4" s="3" t="s">
        <v>125</v>
      </c>
      <c r="B4" s="9" t="s">
        <v>136</v>
      </c>
      <c r="C4" s="3">
        <v>25</v>
      </c>
      <c r="D4" s="10">
        <v>12000</v>
      </c>
      <c r="E4" s="3">
        <v>382</v>
      </c>
    </row>
    <row r="5" spans="1:5" x14ac:dyDescent="0.4">
      <c r="A5" s="3" t="s">
        <v>126</v>
      </c>
      <c r="B5" s="9" t="s">
        <v>136</v>
      </c>
      <c r="C5" s="3">
        <v>14</v>
      </c>
      <c r="D5" s="10">
        <v>9000</v>
      </c>
      <c r="E5" s="3">
        <v>204</v>
      </c>
    </row>
    <row r="6" spans="1:5" x14ac:dyDescent="0.4">
      <c r="A6" s="3" t="s">
        <v>127</v>
      </c>
      <c r="B6" s="9" t="s">
        <v>137</v>
      </c>
      <c r="C6" s="3">
        <v>20</v>
      </c>
      <c r="D6" s="10">
        <v>15000</v>
      </c>
      <c r="E6" s="3">
        <v>421</v>
      </c>
    </row>
    <row r="7" spans="1:5" x14ac:dyDescent="0.4">
      <c r="A7" s="3" t="s">
        <v>128</v>
      </c>
      <c r="B7" s="9" t="s">
        <v>137</v>
      </c>
      <c r="C7" s="3">
        <v>30</v>
      </c>
      <c r="D7" s="10">
        <v>20000</v>
      </c>
      <c r="E7" s="3">
        <v>194</v>
      </c>
    </row>
    <row r="8" spans="1:5" x14ac:dyDescent="0.4">
      <c r="A8" s="3" t="s">
        <v>129</v>
      </c>
      <c r="B8" s="9" t="s">
        <v>137</v>
      </c>
      <c r="C8" s="3">
        <v>25</v>
      </c>
      <c r="D8" s="10">
        <v>8000</v>
      </c>
      <c r="E8" s="3">
        <v>222</v>
      </c>
    </row>
    <row r="9" spans="1:5" x14ac:dyDescent="0.4">
      <c r="A9" s="3" t="s">
        <v>130</v>
      </c>
      <c r="B9" s="9" t="s">
        <v>137</v>
      </c>
      <c r="C9" s="3">
        <v>20</v>
      </c>
      <c r="D9" s="10">
        <v>11000</v>
      </c>
      <c r="E9" s="3">
        <v>318</v>
      </c>
    </row>
    <row r="10" spans="1:5" x14ac:dyDescent="0.4">
      <c r="A10" s="3" t="s">
        <v>131</v>
      </c>
      <c r="B10" s="9" t="s">
        <v>136</v>
      </c>
      <c r="C10" s="3">
        <v>20</v>
      </c>
      <c r="D10" s="10">
        <v>16000</v>
      </c>
      <c r="E10" s="3">
        <v>173</v>
      </c>
    </row>
    <row r="11" spans="1:5" x14ac:dyDescent="0.4">
      <c r="A11" s="3" t="s">
        <v>132</v>
      </c>
      <c r="B11" s="9" t="s">
        <v>136</v>
      </c>
      <c r="C11" s="3">
        <v>25</v>
      </c>
      <c r="D11" s="10">
        <v>13000</v>
      </c>
      <c r="E11" s="3">
        <v>286</v>
      </c>
    </row>
    <row r="12" spans="1:5" x14ac:dyDescent="0.4">
      <c r="A12" s="3" t="s">
        <v>138</v>
      </c>
      <c r="B12" s="9" t="s">
        <v>136</v>
      </c>
      <c r="C12" s="3">
        <v>25</v>
      </c>
      <c r="D12" s="10">
        <v>18000</v>
      </c>
      <c r="E12" s="3">
        <v>185</v>
      </c>
    </row>
    <row r="13" spans="1:5" x14ac:dyDescent="0.4">
      <c r="A13" s="3" t="s">
        <v>139</v>
      </c>
      <c r="B13" s="9" t="s">
        <v>137</v>
      </c>
      <c r="C13" s="3">
        <v>18</v>
      </c>
      <c r="D13" s="10">
        <v>14000</v>
      </c>
      <c r="E13" s="3">
        <v>214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하정 최</cp:lastModifiedBy>
  <dcterms:created xsi:type="dcterms:W3CDTF">2021-03-11T05:14:31Z</dcterms:created>
  <dcterms:modified xsi:type="dcterms:W3CDTF">2024-07-22T10:37:18Z</dcterms:modified>
</cp:coreProperties>
</file>